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ulo\Downloads\"/>
    </mc:Choice>
  </mc:AlternateContent>
  <xr:revisionPtr revIDLastSave="0" documentId="13_ncr:1_{A972FD9E-6488-4813-8325-FE1D592C2E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definedNames>
    <definedName name="_xlnm._FilterDatabase" localSheetId="0" hidden="1">Plan1!$C$1:$C$992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17" i="1"/>
  <c r="B18" i="1"/>
  <c r="B19" i="1"/>
  <c r="B26" i="1"/>
  <c r="B30" i="1"/>
  <c r="B37" i="1"/>
  <c r="B40" i="1"/>
  <c r="B43" i="1"/>
  <c r="B44" i="1"/>
  <c r="B48" i="1"/>
  <c r="B51" i="1"/>
  <c r="B54" i="1"/>
  <c r="B60" i="1"/>
  <c r="B62" i="1"/>
  <c r="B64" i="1"/>
  <c r="B66" i="1"/>
  <c r="B67" i="1"/>
  <c r="B72" i="1"/>
  <c r="B76" i="1"/>
  <c r="B77" i="1"/>
  <c r="B83" i="1"/>
  <c r="B85" i="1"/>
  <c r="B89" i="1"/>
  <c r="B90" i="1"/>
  <c r="B91" i="1"/>
  <c r="B93" i="1"/>
  <c r="B94" i="1"/>
  <c r="B95" i="1"/>
  <c r="B97" i="1"/>
  <c r="B99" i="1"/>
  <c r="B104" i="1"/>
  <c r="B5" i="1"/>
  <c r="B9" i="1"/>
  <c r="B10" i="1"/>
  <c r="B11" i="1"/>
  <c r="B15" i="1"/>
  <c r="B22" i="1"/>
  <c r="B23" i="1"/>
  <c r="B25" i="1"/>
  <c r="B27" i="1"/>
  <c r="B31" i="1"/>
  <c r="B32" i="1"/>
  <c r="B34" i="1"/>
  <c r="B35" i="1"/>
  <c r="B39" i="1"/>
  <c r="B42" i="1"/>
  <c r="B45" i="1"/>
  <c r="B46" i="1"/>
  <c r="B47" i="1"/>
  <c r="B52" i="1"/>
  <c r="B53" i="1"/>
  <c r="B58" i="1"/>
  <c r="B63" i="1"/>
  <c r="B65" i="1"/>
  <c r="B69" i="1"/>
  <c r="B70" i="1"/>
  <c r="B71" i="1"/>
  <c r="B75" i="1"/>
  <c r="B79" i="1"/>
  <c r="B81" i="1"/>
  <c r="B87" i="1"/>
  <c r="B88" i="1"/>
  <c r="B98" i="1"/>
  <c r="B102" i="1"/>
  <c r="B2" i="1"/>
  <c r="B3" i="1"/>
  <c r="B7" i="1"/>
  <c r="B12" i="1"/>
  <c r="B13" i="1"/>
  <c r="B16" i="1"/>
  <c r="B24" i="1"/>
  <c r="B33" i="1"/>
  <c r="B36" i="1"/>
  <c r="B38" i="1"/>
  <c r="B41" i="1"/>
  <c r="B49" i="1"/>
  <c r="B50" i="1"/>
  <c r="B55" i="1"/>
  <c r="B57" i="1"/>
  <c r="B61" i="1"/>
  <c r="B68" i="1"/>
  <c r="B73" i="1"/>
  <c r="B74" i="1"/>
  <c r="B78" i="1"/>
  <c r="B80" i="1"/>
  <c r="B82" i="1"/>
  <c r="B84" i="1"/>
  <c r="B86" i="1"/>
  <c r="B92" i="1"/>
  <c r="B96" i="1"/>
  <c r="B100" i="1"/>
  <c r="B101" i="1"/>
  <c r="B103" i="1"/>
  <c r="B105" i="1"/>
  <c r="B106" i="1"/>
  <c r="B6" i="1"/>
  <c r="AD17" i="1"/>
  <c r="AD18" i="1"/>
  <c r="AD19" i="1"/>
  <c r="AD26" i="1"/>
  <c r="AD28" i="1"/>
  <c r="AD30" i="1"/>
  <c r="AD37" i="1"/>
  <c r="AD43" i="1"/>
  <c r="AD44" i="1"/>
  <c r="AD48" i="1"/>
  <c r="AD51" i="1"/>
  <c r="AD54" i="1"/>
  <c r="AD60" i="1"/>
  <c r="AD62" i="1"/>
  <c r="AD64" i="1"/>
  <c r="AD66" i="1"/>
  <c r="AD67" i="1"/>
  <c r="AD72" i="1"/>
  <c r="AD76" i="1"/>
  <c r="AD77" i="1"/>
  <c r="AD85" i="1"/>
  <c r="AD89" i="1"/>
  <c r="AD93" i="1"/>
  <c r="AD94" i="1"/>
  <c r="AD95" i="1"/>
  <c r="AD97" i="1"/>
  <c r="AD99" i="1"/>
  <c r="AD104" i="1"/>
  <c r="AD5" i="1"/>
  <c r="AD9" i="1"/>
  <c r="AD10" i="1"/>
  <c r="AD11" i="1"/>
  <c r="AD15" i="1"/>
  <c r="AD22" i="1"/>
  <c r="AD23" i="1"/>
  <c r="AD25" i="1"/>
  <c r="AD27" i="1"/>
  <c r="AD29" i="1"/>
  <c r="AD31" i="1"/>
  <c r="AD32" i="1"/>
  <c r="AD34" i="1"/>
  <c r="AD35" i="1"/>
  <c r="AD39" i="1"/>
  <c r="AD42" i="1"/>
  <c r="AD45" i="1"/>
  <c r="AD47" i="1"/>
  <c r="AD52" i="1"/>
  <c r="AD53" i="1"/>
  <c r="AD58" i="1"/>
  <c r="AD63" i="1"/>
  <c r="AD65" i="1"/>
  <c r="AD69" i="1"/>
  <c r="AD70" i="1"/>
  <c r="AD75" i="1"/>
  <c r="AD79" i="1"/>
  <c r="AD87" i="1"/>
  <c r="AD88" i="1"/>
  <c r="AD98" i="1"/>
  <c r="AD102" i="1"/>
  <c r="AD2" i="1"/>
  <c r="AD3" i="1"/>
  <c r="AD7" i="1"/>
  <c r="AD12" i="1"/>
  <c r="AD16" i="1"/>
  <c r="AD24" i="1"/>
  <c r="AD33" i="1"/>
  <c r="AD36" i="1"/>
  <c r="AD41" i="1"/>
  <c r="AD57" i="1"/>
  <c r="AD59" i="1"/>
  <c r="AD61" i="1"/>
  <c r="AD68" i="1"/>
  <c r="AD73" i="1"/>
  <c r="AD74" i="1"/>
  <c r="AD78" i="1"/>
  <c r="AD80" i="1"/>
  <c r="AD82" i="1"/>
  <c r="AD84" i="1"/>
  <c r="AD86" i="1"/>
  <c r="AD92" i="1"/>
  <c r="AD100" i="1"/>
  <c r="AD101" i="1"/>
  <c r="AD103" i="1"/>
  <c r="AD105" i="1"/>
  <c r="AD106" i="1"/>
  <c r="AD6" i="1"/>
  <c r="Z106" i="1" l="1"/>
  <c r="Z105" i="1"/>
  <c r="Z103" i="1"/>
  <c r="Z101" i="1"/>
  <c r="Z100" i="1"/>
  <c r="Z96" i="1"/>
  <c r="Z92" i="1"/>
  <c r="Z86" i="1"/>
  <c r="Z84" i="1"/>
  <c r="Z82" i="1"/>
  <c r="Z80" i="1"/>
  <c r="Z78" i="1"/>
  <c r="Z74" i="1"/>
  <c r="Z73" i="1"/>
  <c r="Z68" i="1"/>
  <c r="Z61" i="1"/>
  <c r="Z59" i="1"/>
  <c r="Z57" i="1"/>
  <c r="Z55" i="1"/>
  <c r="Z50" i="1"/>
  <c r="Z49" i="1"/>
  <c r="Z41" i="1"/>
  <c r="Z38" i="1"/>
  <c r="Z36" i="1"/>
  <c r="Z33" i="1"/>
  <c r="Z24" i="1"/>
  <c r="Z21" i="1"/>
  <c r="Z16" i="1"/>
  <c r="Z13" i="1"/>
  <c r="Z12" i="1"/>
  <c r="Z8" i="1"/>
  <c r="Z7" i="1"/>
  <c r="Z4" i="1"/>
  <c r="Z3" i="1"/>
  <c r="Z2" i="1"/>
  <c r="Z102" i="1"/>
  <c r="Z98" i="1"/>
  <c r="Z88" i="1"/>
  <c r="Z87" i="1"/>
  <c r="Z81" i="1"/>
  <c r="Z79" i="1"/>
  <c r="Z75" i="1"/>
  <c r="Z56" i="1"/>
  <c r="Z71" i="1"/>
  <c r="Z70" i="1"/>
  <c r="Z69" i="1"/>
  <c r="Z65" i="1"/>
  <c r="Z63" i="1"/>
  <c r="Z58" i="1"/>
  <c r="Z53" i="1"/>
  <c r="Z52" i="1"/>
  <c r="Z47" i="1"/>
  <c r="Z46" i="1"/>
  <c r="Z45" i="1"/>
  <c r="Z42" i="1"/>
  <c r="Z39" i="1"/>
  <c r="Z35" i="1"/>
  <c r="Z34" i="1"/>
  <c r="Z32" i="1"/>
  <c r="Z31" i="1"/>
  <c r="Z29" i="1"/>
  <c r="Z27" i="1"/>
  <c r="Z25" i="1"/>
  <c r="Z23" i="1"/>
  <c r="Z22" i="1"/>
  <c r="Z15" i="1"/>
  <c r="Z11" i="1"/>
  <c r="Z10" i="1"/>
  <c r="Z9" i="1"/>
  <c r="Z5" i="1"/>
  <c r="Z104" i="1"/>
  <c r="Z99" i="1"/>
  <c r="Z97" i="1"/>
  <c r="Z95" i="1"/>
  <c r="Z94" i="1"/>
  <c r="Z93" i="1"/>
  <c r="Z91" i="1"/>
  <c r="Z90" i="1"/>
  <c r="Z89" i="1"/>
  <c r="Z85" i="1"/>
  <c r="Z83" i="1"/>
  <c r="Z77" i="1"/>
  <c r="Z76" i="1"/>
  <c r="Z72" i="1"/>
  <c r="Z67" i="1"/>
  <c r="Z66" i="1"/>
  <c r="Z64" i="1"/>
  <c r="Z62" i="1"/>
  <c r="Z60" i="1"/>
  <c r="Z54" i="1"/>
  <c r="Z51" i="1"/>
  <c r="Z48" i="1"/>
  <c r="Z44" i="1"/>
  <c r="Z43" i="1"/>
  <c r="Z40" i="1"/>
  <c r="Z37" i="1"/>
  <c r="Z30" i="1"/>
  <c r="Z28" i="1"/>
  <c r="Z26" i="1"/>
  <c r="Z20" i="1"/>
  <c r="Z19" i="1"/>
  <c r="Z18" i="1"/>
  <c r="Z17" i="1"/>
  <c r="Z14" i="1"/>
  <c r="Z6" i="1"/>
</calcChain>
</file>

<file path=xl/sharedStrings.xml><?xml version="1.0" encoding="utf-8"?>
<sst xmlns="http://schemas.openxmlformats.org/spreadsheetml/2006/main" count="143" uniqueCount="141">
  <si>
    <t>Antonio Rosa de Lima</t>
  </si>
  <si>
    <t>Carmelita Maria do nascimento Fossalussa</t>
  </si>
  <si>
    <t>Cleber Antonio Papa da Silva</t>
  </si>
  <si>
    <t>Daniel Viana Figueiredo</t>
  </si>
  <si>
    <t>Dirce Valto Braz</t>
  </si>
  <si>
    <t>Edson Tadeu de Almeida</t>
  </si>
  <si>
    <t>Eunice Martinez</t>
  </si>
  <si>
    <t>Gabriel Monteiro</t>
  </si>
  <si>
    <t>Gercina verissimo da silva costa</t>
  </si>
  <si>
    <t>Ivandira Fernandes Ferreira Mendes</t>
  </si>
  <si>
    <t>Jenny Mello Leme</t>
  </si>
  <si>
    <t>José Roberto Gusmão Montes</t>
  </si>
  <si>
    <t>Joselita Alves Rodrigues</t>
  </si>
  <si>
    <t>Lea Pesso Smeke</t>
  </si>
  <si>
    <t>Luciano Nogueira Martins</t>
  </si>
  <si>
    <t>Maria Alves Brito</t>
  </si>
  <si>
    <t>Maria de Lourdes dos Santos Nascimento</t>
  </si>
  <si>
    <t>Maria do Pérpetuo Socorro</t>
  </si>
  <si>
    <t>Maria Elizeth</t>
  </si>
  <si>
    <t>Maria Inês</t>
  </si>
  <si>
    <t>Maria José da Silva Fernandes</t>
  </si>
  <si>
    <t>Maria Sidnei Barbosa</t>
  </si>
  <si>
    <t>Marlene Cano Vasques</t>
  </si>
  <si>
    <t>Marlene da Cunha Valle</t>
  </si>
  <si>
    <t>Regina Helena de Jesus Rodrigues</t>
  </si>
  <si>
    <t>Rosa Maria Camargo Pinto</t>
  </si>
  <si>
    <t>Setsuko Taminato</t>
  </si>
  <si>
    <t>Shirley Rohwdd Aviles</t>
  </si>
  <si>
    <t>Sidnei Valentim</t>
  </si>
  <si>
    <t>Solange Kalena Levy</t>
  </si>
  <si>
    <t>Sonia de Carvalho Isla Angelini</t>
  </si>
  <si>
    <t>Sônia Maria Righetto</t>
  </si>
  <si>
    <t>Sueli Pires de Araujo DAgostini</t>
  </si>
  <si>
    <t>Tania Regina Fernandez Benitez</t>
  </si>
  <si>
    <t>Vera Lucia Novaes Ribeiro</t>
  </si>
  <si>
    <t>Ana Maria Obranovich</t>
  </si>
  <si>
    <t>Aurea Andre Balthazar</t>
  </si>
  <si>
    <t>Benedita Dolores Marquezini</t>
  </si>
  <si>
    <t>Benedita Pinheiro Cunha</t>
  </si>
  <si>
    <t>Cila Ankier</t>
  </si>
  <si>
    <t>Emanuel Pinheiro</t>
  </si>
  <si>
    <t>Eneida Maria</t>
  </si>
  <si>
    <t>Eunice Dantas goncalves</t>
  </si>
  <si>
    <t>Fátima Regina</t>
  </si>
  <si>
    <t>Geni Czartona</t>
  </si>
  <si>
    <t>Harlerey Lopes dos Santos</t>
  </si>
  <si>
    <t>Hemiko Fujiwara</t>
  </si>
  <si>
    <t>Ilka Gonsiorowski de Camargo</t>
  </si>
  <si>
    <t>Irineia Caresi</t>
  </si>
  <si>
    <t>Ivone Galante</t>
  </si>
  <si>
    <t>José Octavio Siqueira Cunha</t>
  </si>
  <si>
    <t>Julia Preplotzki Brandão</t>
  </si>
  <si>
    <t>Kioshi Shimizu</t>
  </si>
  <si>
    <t>Kiyoko Taminato Gomes da Silva</t>
  </si>
  <si>
    <t>Luis Vargas Quesada</t>
  </si>
  <si>
    <t>Marco Tanchella</t>
  </si>
  <si>
    <t>Maria das Graças Barreto</t>
  </si>
  <si>
    <t>Maria do Socorro Silva</t>
  </si>
  <si>
    <t>Maria Helena Granata</t>
  </si>
  <si>
    <t>Maria Lúcia Ferreira da Silva</t>
  </si>
  <si>
    <t>Maria Marlene França</t>
  </si>
  <si>
    <t>Maria Rosa Maiante</t>
  </si>
  <si>
    <t>Maria Silvia Barrios</t>
  </si>
  <si>
    <t>Marielze de Oliveira Brigo</t>
  </si>
  <si>
    <t>Miguel Paulo Santner</t>
  </si>
  <si>
    <t>Nilza das Graças Silva de Paula</t>
  </si>
  <si>
    <t>Rubens Aparecido dos Santos</t>
  </si>
  <si>
    <t>Sérgio Pinto Carneiro</t>
  </si>
  <si>
    <t>Suely Farah</t>
  </si>
  <si>
    <t>Valeria Iazzetta</t>
  </si>
  <si>
    <t>Almerinda Duarte de Almeida</t>
  </si>
  <si>
    <t>Altonízzio Machado</t>
  </si>
  <si>
    <t>Álvaro Escrivão</t>
  </si>
  <si>
    <t>Aparecida Luiza da Silva Magalhães</t>
  </si>
  <si>
    <t>Augustin Mangia Gomes</t>
  </si>
  <si>
    <t>Benne Catanante</t>
  </si>
  <si>
    <t>Carlos Roberto Marostega</t>
  </si>
  <si>
    <t>Cinthia Souza Ribeiro</t>
  </si>
  <si>
    <t>Eduardo Klein</t>
  </si>
  <si>
    <t>Erotildes Maria</t>
  </si>
  <si>
    <t>Iara Souza Barufaldi</t>
  </si>
  <si>
    <t>Isabel Grant Marzano Ricci</t>
  </si>
  <si>
    <t>Ivanete Rodrigues de Souza</t>
  </si>
  <si>
    <t>João Batista de Matos Filho</t>
  </si>
  <si>
    <t>Leonor de Andrade</t>
  </si>
  <si>
    <t>Lourenço Dias de Camargo Junior</t>
  </si>
  <si>
    <t>Maria Aparecida Moreno Costa</t>
  </si>
  <si>
    <t>Maria Benedita Yoshizawa</t>
  </si>
  <si>
    <t>Maria de Jesus Machado dos Santos</t>
  </si>
  <si>
    <t>Maria do Ceu do Olival Barbara Domingues</t>
  </si>
  <si>
    <t>Maria Julia de Oliveira</t>
  </si>
  <si>
    <t>Maria Telma Pereira Cohen</t>
  </si>
  <si>
    <t>Maria Tereza Carvalho</t>
  </si>
  <si>
    <t>Marlene Lopes de Oliveira Miranda</t>
  </si>
  <si>
    <t>Natalia Andrade de Lima</t>
  </si>
  <si>
    <t>Paulo Bueno de Morais</t>
  </si>
  <si>
    <t>Renilda almeida do nascimento</t>
  </si>
  <si>
    <t>Roseana Lacava</t>
  </si>
  <si>
    <t>Silvia Sobral</t>
  </si>
  <si>
    <t>Sônia Regina da Silva</t>
  </si>
  <si>
    <t>Terezinha Coes Gama Santos</t>
  </si>
  <si>
    <t>Thais Helena Lemos Pinto</t>
  </si>
  <si>
    <t>Vera Lucia dos Santos</t>
  </si>
  <si>
    <t>Vitória Vitalina de Lima Machado</t>
  </si>
  <si>
    <t>Wilma Ferreira de Sá</t>
  </si>
  <si>
    <t>-</t>
  </si>
  <si>
    <t>psqi_score</t>
  </si>
  <si>
    <t>physical_domain</t>
  </si>
  <si>
    <t>mental_domain</t>
  </si>
  <si>
    <t>gai_score</t>
  </si>
  <si>
    <t>gds_score</t>
  </si>
  <si>
    <t>sleep</t>
  </si>
  <si>
    <t>name</t>
  </si>
  <si>
    <t>waist_circunference</t>
  </si>
  <si>
    <t>hgs_maior</t>
  </si>
  <si>
    <t>total_lean_mass</t>
  </si>
  <si>
    <t>total_fat_mass</t>
  </si>
  <si>
    <t>trunk_fat_mass</t>
  </si>
  <si>
    <t>vat_area</t>
  </si>
  <si>
    <t>vat_mass</t>
  </si>
  <si>
    <t>hba1c</t>
  </si>
  <si>
    <t>glucose</t>
  </si>
  <si>
    <t>insulin</t>
  </si>
  <si>
    <t>homa_ir</t>
  </si>
  <si>
    <t>delta_weight_loss</t>
  </si>
  <si>
    <t>bmi</t>
  </si>
  <si>
    <t>appendicular_lean_mass</t>
  </si>
  <si>
    <t>percentual_fat_mass</t>
  </si>
  <si>
    <t>appendicular_lean_mass/bmi</t>
  </si>
  <si>
    <t>thyroid_drugs</t>
  </si>
  <si>
    <t>statins</t>
  </si>
  <si>
    <t>glucose_lowering_drugs</t>
  </si>
  <si>
    <t>anxiolytics_or_antidepressant</t>
  </si>
  <si>
    <t>anti_hypertensives</t>
  </si>
  <si>
    <t>osteopenia</t>
  </si>
  <si>
    <t>dislipidemia</t>
  </si>
  <si>
    <t>rheumatic_diseases</t>
  </si>
  <si>
    <t>psychiatric_diseases</t>
  </si>
  <si>
    <t>hypertension</t>
  </si>
  <si>
    <t>diabetes</t>
  </si>
  <si>
    <t>gender_male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</si>
</sst>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222222"/>
      <name val="Calibri"/>
      <family val="2"/>
      <scheme val="minor"/>
    </font>
    <font>
      <sz val="1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FEFEF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2" fillId="0" borderId="9" applyNumberFormat="0" applyFill="0" applyAlignment="0" applyProtection="0"/>
    <xf numFmtId="0" fontId="19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9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9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9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9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9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2">
    <xf numFmtId="0" fontId="0" fillId="0" borderId="0" xfId="0"/>
    <xf numFmtId="0" fontId="2" fillId="33" borderId="10" xfId="0" applyFont="1" applyFill="1" applyBorder="1" applyAlignment="1">
      <alignment horizontal="center" vertical="center" wrapText="1"/>
    </xf>
    <xf numFmtId="0" fontId="3" fillId="33" borderId="10" xfId="0" applyFont="1" applyFill="1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4" fillId="33" borderId="10" xfId="0" applyFont="1" applyFill="1" applyBorder="1" applyAlignment="1">
      <alignment horizontal="center"/>
    </xf>
    <xf numFmtId="2" fontId="0" fillId="33" borderId="10" xfId="0" applyNumberFormat="1" applyFill="1" applyBorder="1" applyAlignment="1">
      <alignment horizontal="center"/>
    </xf>
    <xf numFmtId="0" fontId="0" fillId="33" borderId="10" xfId="0" applyFill="1" applyBorder="1"/>
    <xf numFmtId="2" fontId="1" fillId="34" borderId="10" xfId="0" applyNumberFormat="1" applyFont="1" applyFill="1" applyBorder="1" applyAlignment="1">
      <alignment horizontal="center"/>
    </xf>
    <xf numFmtId="2" fontId="1" fillId="33" borderId="10" xfId="0" applyNumberFormat="1" applyFont="1" applyFill="1" applyBorder="1" applyAlignment="1">
      <alignment horizontal="center"/>
    </xf>
    <xf numFmtId="2" fontId="1" fillId="36" borderId="10" xfId="0" applyNumberFormat="1" applyFont="1" applyFill="1" applyBorder="1" applyAlignment="1">
      <alignment horizontal="center"/>
    </xf>
    <xf numFmtId="0" fontId="1" fillId="34" borderId="10" xfId="0" applyFont="1" applyFill="1" applyBorder="1"/>
    <xf numFmtId="0" fontId="1" fillId="36" borderId="10" xfId="0" applyFont="1" applyFill="1" applyBorder="1"/>
    <xf numFmtId="0" fontId="2" fillId="34" borderId="10" xfId="0" applyFont="1" applyFill="1" applyBorder="1" applyAlignment="1">
      <alignment horizontal="center" vertical="center" wrapText="1"/>
    </xf>
    <xf numFmtId="164" fontId="2" fillId="35" borderId="10" xfId="0" applyNumberFormat="1" applyFont="1" applyFill="1" applyBorder="1" applyAlignment="1">
      <alignment horizontal="center" vertical="center" wrapText="1"/>
    </xf>
    <xf numFmtId="0" fontId="2" fillId="35" borderId="10" xfId="0" applyFont="1" applyFill="1" applyBorder="1" applyAlignment="1">
      <alignment horizontal="center" vertical="center" wrapText="1"/>
    </xf>
    <xf numFmtId="164" fontId="2" fillId="36" borderId="10" xfId="0" applyNumberFormat="1" applyFont="1" applyFill="1" applyBorder="1" applyAlignment="1">
      <alignment horizontal="center" vertical="center" wrapText="1"/>
    </xf>
    <xf numFmtId="0" fontId="2" fillId="33" borderId="10" xfId="0" applyFont="1" applyFill="1" applyBorder="1" applyAlignment="1">
      <alignment horizontal="center" vertical="center"/>
    </xf>
    <xf numFmtId="0" fontId="20" fillId="33" borderId="1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33" borderId="10" xfId="0" applyFill="1" applyBorder="1" applyAlignment="1">
      <alignment wrapText="1"/>
    </xf>
    <xf numFmtId="0" fontId="0" fillId="34" borderId="10" xfId="0" applyFill="1" applyBorder="1" applyAlignment="1">
      <alignment horizontal="center"/>
    </xf>
    <xf numFmtId="0" fontId="0" fillId="37" borderId="10" xfId="0" applyFill="1" applyBorder="1" applyAlignment="1">
      <alignment horizontal="center"/>
    </xf>
    <xf numFmtId="164" fontId="0" fillId="37" borderId="10" xfId="0" applyNumberFormat="1" applyFill="1" applyBorder="1" applyAlignment="1">
      <alignment horizontal="center"/>
    </xf>
    <xf numFmtId="164" fontId="0" fillId="37" borderId="10" xfId="0" applyNumberFormat="1" applyFill="1" applyBorder="1"/>
    <xf numFmtId="0" fontId="0" fillId="38" borderId="10" xfId="0" applyFill="1" applyBorder="1" applyAlignment="1">
      <alignment horizontal="center" wrapText="1"/>
    </xf>
    <xf numFmtId="164" fontId="0" fillId="38" borderId="10" xfId="0" applyNumberFormat="1" applyFill="1" applyBorder="1" applyAlignment="1">
      <alignment horizontal="center" wrapText="1"/>
    </xf>
    <xf numFmtId="0" fontId="0" fillId="38" borderId="10" xfId="0" applyFill="1" applyBorder="1" applyAlignment="1">
      <alignment horizontal="center"/>
    </xf>
    <xf numFmtId="0" fontId="0" fillId="33" borderId="10" xfId="0" applyFill="1" applyBorder="1" applyAlignment="1">
      <alignment horizontal="center" wrapText="1"/>
    </xf>
    <xf numFmtId="164" fontId="0" fillId="33" borderId="10" xfId="0" applyNumberFormat="1" applyFill="1" applyBorder="1" applyAlignment="1">
      <alignment horizontal="center" wrapText="1"/>
    </xf>
    <xf numFmtId="164" fontId="0" fillId="33" borderId="10" xfId="0" applyNumberFormat="1" applyFill="1" applyBorder="1" applyAlignment="1">
      <alignment horizontal="center"/>
    </xf>
    <xf numFmtId="0" fontId="0" fillId="37" borderId="10" xfId="0" applyFill="1" applyBorder="1"/>
    <xf numFmtId="164" fontId="0" fillId="38" borderId="10" xfId="0" applyNumberFormat="1" applyFill="1" applyBorder="1" applyAlignment="1">
      <alignment horizontal="center"/>
    </xf>
    <xf numFmtId="0" fontId="0" fillId="38" borderId="10" xfId="0" applyFill="1" applyBorder="1"/>
    <xf numFmtId="1" fontId="0" fillId="33" borderId="10" xfId="0" applyNumberFormat="1" applyFill="1" applyBorder="1" applyAlignment="1">
      <alignment horizontal="center"/>
    </xf>
    <xf numFmtId="0" fontId="0" fillId="37" borderId="10" xfId="0" applyFill="1" applyBorder="1" applyAlignment="1">
      <alignment horizontal="center" wrapText="1"/>
    </xf>
    <xf numFmtId="164" fontId="0" fillId="37" borderId="10" xfId="0" applyNumberFormat="1" applyFill="1" applyBorder="1" applyAlignment="1">
      <alignment horizontal="center" wrapText="1"/>
    </xf>
    <xf numFmtId="2" fontId="0" fillId="37" borderId="10" xfId="0" applyNumberFormat="1" applyFill="1" applyBorder="1" applyAlignment="1">
      <alignment horizontal="center"/>
    </xf>
    <xf numFmtId="0" fontId="21" fillId="33" borderId="10" xfId="0" applyFont="1" applyFill="1" applyBorder="1" applyAlignment="1">
      <alignment wrapText="1"/>
    </xf>
    <xf numFmtId="0" fontId="0" fillId="33" borderId="10" xfId="0" applyFill="1" applyBorder="1" applyAlignment="1">
      <alignment vertical="center" wrapText="1"/>
    </xf>
    <xf numFmtId="0" fontId="22" fillId="33" borderId="10" xfId="0" applyFont="1" applyFill="1" applyBorder="1" applyAlignment="1">
      <alignment horizontal="center"/>
    </xf>
    <xf numFmtId="0" fontId="0" fillId="34" borderId="10" xfId="0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2" fontId="0" fillId="33" borderId="10" xfId="0" applyNumberFormat="1" applyFill="1" applyBorder="1" applyAlignment="1">
      <alignment horizontal="center" vertical="center"/>
    </xf>
    <xf numFmtId="164" fontId="0" fillId="33" borderId="10" xfId="0" applyNumberFormat="1" applyFill="1" applyBorder="1" applyAlignment="1">
      <alignment horizontal="center" vertical="center"/>
    </xf>
    <xf numFmtId="1" fontId="0" fillId="36" borderId="10" xfId="0" applyNumberFormat="1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  <xf numFmtId="164" fontId="0" fillId="37" borderId="10" xfId="0" applyNumberFormat="1" applyFill="1" applyBorder="1" applyAlignment="1">
      <alignment horizontal="center" vertical="center"/>
    </xf>
    <xf numFmtId="0" fontId="0" fillId="38" borderId="10" xfId="0" applyFill="1" applyBorder="1" applyAlignment="1">
      <alignment horizontal="center" vertical="center" wrapText="1"/>
    </xf>
    <xf numFmtId="164" fontId="0" fillId="38" borderId="10" xfId="0" applyNumberFormat="1" applyFill="1" applyBorder="1" applyAlignment="1">
      <alignment horizontal="center" vertical="center" wrapText="1"/>
    </xf>
    <xf numFmtId="0" fontId="0" fillId="38" borderId="10" xfId="0" applyFill="1" applyBorder="1" applyAlignment="1">
      <alignment horizontal="center" vertical="center"/>
    </xf>
    <xf numFmtId="164" fontId="20" fillId="33" borderId="10" xfId="0" applyNumberFormat="1" applyFont="1" applyFill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3" fillId="0" borderId="10" xfId="0" applyNumberFormat="1" applyFont="1" applyBorder="1" applyAlignment="1">
      <alignment horizontal="center"/>
    </xf>
    <xf numFmtId="165" fontId="22" fillId="33" borderId="10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33" borderId="10" xfId="0" applyFill="1" applyBorder="1" applyAlignment="1">
      <alignment horizontal="center" vertical="center" wrapText="1"/>
    </xf>
    <xf numFmtId="0" fontId="0" fillId="0" borderId="10" xfId="0" applyBorder="1"/>
    <xf numFmtId="0" fontId="20" fillId="39" borderId="10" xfId="0" applyFont="1" applyFill="1" applyBorder="1" applyAlignment="1">
      <alignment horizontal="center" vertical="center"/>
    </xf>
    <xf numFmtId="0" fontId="22" fillId="39" borderId="10" xfId="0" applyFont="1" applyFill="1" applyBorder="1" applyAlignment="1">
      <alignment horizontal="center"/>
    </xf>
    <xf numFmtId="2" fontId="0" fillId="39" borderId="10" xfId="0" applyNumberFormat="1" applyFill="1" applyBorder="1" applyAlignment="1">
      <alignment horizontal="center"/>
    </xf>
    <xf numFmtId="0" fontId="0" fillId="39" borderId="10" xfId="0" applyFill="1" applyBorder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92"/>
  <sheetViews>
    <sheetView tabSelected="1" workbookViewId="0">
      <pane xSplit="1" topLeftCell="B1" activePane="topRight" state="frozen"/>
      <selection pane="topRight" activeCell="F19" sqref="F19"/>
    </sheetView>
  </sheetViews>
  <sheetFormatPr defaultRowHeight="14.4" x14ac:dyDescent="0.3"/>
  <cols>
    <col min="1" max="1" width="43.109375" style="6" customWidth="1"/>
    <col min="2" max="2" width="14.88671875" style="3" customWidth="1"/>
    <col min="3" max="3" width="17.6640625" style="61" customWidth="1"/>
    <col min="4" max="4" width="14.44140625"/>
    <col min="5" max="5" width="17" style="6" customWidth="1"/>
    <col min="6" max="6" width="17.33203125" style="6" customWidth="1"/>
    <col min="7" max="7" width="21.109375" style="6" customWidth="1"/>
    <col min="8" max="8" width="19.5546875" style="6" customWidth="1"/>
    <col min="9" max="9" width="16.5546875" style="6" customWidth="1"/>
    <col min="10" max="10" width="16.77734375" style="6" customWidth="1"/>
    <col min="11" max="11" width="19.77734375" style="6" customWidth="1"/>
    <col min="12" max="12" width="25" style="6" customWidth="1"/>
    <col min="13" max="13" width="14.21875" style="6" customWidth="1"/>
    <col min="14" max="14" width="17.21875" style="6" customWidth="1"/>
    <col min="15" max="15" width="26.88671875" style="6" customWidth="1"/>
    <col min="16" max="17" width="17.6640625" style="3" customWidth="1"/>
    <col min="18" max="18" width="17.88671875" style="6" customWidth="1"/>
    <col min="19" max="19" width="26.33203125" style="6" customWidth="1"/>
    <col min="20" max="20" width="20.33203125" style="6" customWidth="1"/>
    <col min="21" max="21" width="18.109375" style="6" customWidth="1"/>
    <col min="22" max="22" width="14.44140625" style="6"/>
    <col min="23" max="23" width="18.109375" style="6" customWidth="1"/>
    <col min="24" max="24" width="22.5546875" style="6" customWidth="1"/>
    <col min="25" max="25" width="13.21875" style="6" customWidth="1"/>
    <col min="26" max="26" width="14" style="6" customWidth="1"/>
    <col min="27" max="27" width="16.21875" style="6" customWidth="1"/>
    <col min="28" max="28" width="13.21875" style="6" customWidth="1"/>
    <col min="29" max="29" width="8.88671875" style="6"/>
    <col min="30" max="30" width="8.88671875" style="3"/>
    <col min="31" max="31" width="16.6640625" style="6" customWidth="1"/>
    <col min="32" max="32" width="8.88671875" style="6"/>
    <col min="33" max="33" width="23.44140625" style="3" customWidth="1"/>
    <col min="34" max="34" width="36" style="52" customWidth="1"/>
    <col min="35" max="35" width="22.109375" style="55" customWidth="1"/>
  </cols>
  <sheetData>
    <row r="1" spans="1:35" s="18" customFormat="1" ht="28.8" x14ac:dyDescent="0.3">
      <c r="A1" s="1" t="s">
        <v>112</v>
      </c>
      <c r="B1" s="1" t="s">
        <v>111</v>
      </c>
      <c r="C1" s="58" t="s">
        <v>106</v>
      </c>
      <c r="D1" s="1" t="s">
        <v>140</v>
      </c>
      <c r="E1" s="1" t="s">
        <v>139</v>
      </c>
      <c r="F1" s="1" t="s">
        <v>138</v>
      </c>
      <c r="G1" s="1" t="s">
        <v>137</v>
      </c>
      <c r="H1" s="1" t="s">
        <v>136</v>
      </c>
      <c r="I1" s="1" t="s">
        <v>135</v>
      </c>
      <c r="J1" s="1" t="s">
        <v>134</v>
      </c>
      <c r="K1" s="1" t="s">
        <v>133</v>
      </c>
      <c r="L1" s="1" t="s">
        <v>131</v>
      </c>
      <c r="M1" s="1" t="s">
        <v>130</v>
      </c>
      <c r="N1" s="1" t="s">
        <v>129</v>
      </c>
      <c r="O1" s="1" t="s">
        <v>132</v>
      </c>
      <c r="P1" s="17" t="s">
        <v>107</v>
      </c>
      <c r="Q1" s="17" t="s">
        <v>108</v>
      </c>
      <c r="R1" s="12" t="s">
        <v>109</v>
      </c>
      <c r="S1" s="12" t="s">
        <v>110</v>
      </c>
      <c r="T1" s="1" t="s">
        <v>113</v>
      </c>
      <c r="U1" s="1" t="s">
        <v>114</v>
      </c>
      <c r="V1" s="13" t="s">
        <v>115</v>
      </c>
      <c r="W1" s="13" t="s">
        <v>116</v>
      </c>
      <c r="X1" s="13" t="s">
        <v>117</v>
      </c>
      <c r="Y1" s="14" t="s">
        <v>119</v>
      </c>
      <c r="Z1" s="15" t="s">
        <v>118</v>
      </c>
      <c r="AA1" s="16" t="s">
        <v>120</v>
      </c>
      <c r="AB1" s="16" t="s">
        <v>121</v>
      </c>
      <c r="AC1" s="16" t="s">
        <v>122</v>
      </c>
      <c r="AD1" s="16" t="s">
        <v>123</v>
      </c>
      <c r="AE1" s="17" t="s">
        <v>124</v>
      </c>
      <c r="AF1" s="17" t="s">
        <v>125</v>
      </c>
      <c r="AG1" s="17" t="s">
        <v>126</v>
      </c>
      <c r="AH1" s="50" t="s">
        <v>128</v>
      </c>
      <c r="AI1" s="17" t="s">
        <v>127</v>
      </c>
    </row>
    <row r="2" spans="1:35" x14ac:dyDescent="0.3">
      <c r="A2" s="19" t="s">
        <v>70</v>
      </c>
      <c r="B2" s="27" t="str">
        <f>IF(C2&gt;5,"ruim","bom")</f>
        <v>ruim</v>
      </c>
      <c r="C2" s="59">
        <v>7</v>
      </c>
      <c r="D2" s="27">
        <v>0</v>
      </c>
      <c r="E2" s="27">
        <v>0</v>
      </c>
      <c r="F2" s="27">
        <v>1</v>
      </c>
      <c r="G2" s="27">
        <v>1</v>
      </c>
      <c r="H2" s="27">
        <v>0</v>
      </c>
      <c r="I2" s="27">
        <v>1</v>
      </c>
      <c r="J2" s="27">
        <v>0</v>
      </c>
      <c r="K2" s="27">
        <v>1</v>
      </c>
      <c r="L2" s="27">
        <v>0</v>
      </c>
      <c r="M2" s="27">
        <v>1</v>
      </c>
      <c r="N2" s="27">
        <v>0</v>
      </c>
      <c r="O2" s="27">
        <v>1</v>
      </c>
      <c r="P2" s="3">
        <v>40</v>
      </c>
      <c r="Q2" s="3">
        <v>42</v>
      </c>
      <c r="R2" s="20">
        <v>15</v>
      </c>
      <c r="S2" s="20">
        <v>8</v>
      </c>
      <c r="T2" s="24">
        <v>112</v>
      </c>
      <c r="U2" s="24">
        <v>26</v>
      </c>
      <c r="V2" s="25">
        <v>44.813000000000002</v>
      </c>
      <c r="W2" s="25">
        <v>55.942</v>
      </c>
      <c r="X2" s="25">
        <v>28.6891</v>
      </c>
      <c r="Y2" s="24">
        <v>0.65300000000000002</v>
      </c>
      <c r="Z2" s="44">
        <f t="shared" ref="Z2:Z33" si="0">Y2*1000</f>
        <v>653</v>
      </c>
      <c r="AA2" s="26">
        <v>5.7</v>
      </c>
      <c r="AB2" s="26">
        <v>91</v>
      </c>
      <c r="AC2" s="26">
        <v>25.7</v>
      </c>
      <c r="AD2" s="5">
        <f>AB2*AC2/405</f>
        <v>5.7745679012345672</v>
      </c>
      <c r="AE2" s="39">
        <v>-5.0999999999999996</v>
      </c>
      <c r="AF2" s="39">
        <v>43.3</v>
      </c>
      <c r="AG2" s="39">
        <v>18.254000000000001</v>
      </c>
      <c r="AH2" s="51">
        <v>0.42199999999999999</v>
      </c>
      <c r="AI2" s="53">
        <v>54.7</v>
      </c>
    </row>
    <row r="3" spans="1:35" x14ac:dyDescent="0.3">
      <c r="A3" s="19" t="s">
        <v>71</v>
      </c>
      <c r="B3" s="27" t="str">
        <f>IF(C3&gt;5,"ruim","bom")</f>
        <v>ruim</v>
      </c>
      <c r="C3" s="59">
        <v>6</v>
      </c>
      <c r="D3" s="27">
        <v>1</v>
      </c>
      <c r="E3" s="27">
        <v>0</v>
      </c>
      <c r="F3" s="27">
        <v>0</v>
      </c>
      <c r="G3" s="27">
        <v>0</v>
      </c>
      <c r="H3" s="27">
        <v>0</v>
      </c>
      <c r="I3" s="27">
        <v>1</v>
      </c>
      <c r="J3" s="27">
        <v>0</v>
      </c>
      <c r="K3" s="27">
        <v>0</v>
      </c>
      <c r="L3" s="27">
        <v>0</v>
      </c>
      <c r="M3" s="27">
        <v>1</v>
      </c>
      <c r="N3" s="27">
        <v>0</v>
      </c>
      <c r="O3" s="27">
        <v>0</v>
      </c>
      <c r="P3" s="3">
        <v>94</v>
      </c>
      <c r="Q3" s="3">
        <v>93</v>
      </c>
      <c r="R3" s="20">
        <v>5</v>
      </c>
      <c r="S3" s="20">
        <v>1</v>
      </c>
      <c r="T3" s="27">
        <v>107.1</v>
      </c>
      <c r="U3" s="24">
        <v>28</v>
      </c>
      <c r="V3" s="28">
        <v>46.158999999999999</v>
      </c>
      <c r="W3" s="28">
        <v>29.413799999999998</v>
      </c>
      <c r="X3" s="28">
        <v>16.46</v>
      </c>
      <c r="Y3" s="27">
        <v>1.212</v>
      </c>
      <c r="Z3" s="44">
        <f t="shared" si="0"/>
        <v>1212</v>
      </c>
      <c r="AA3" s="3">
        <v>5.9</v>
      </c>
      <c r="AB3" s="3">
        <v>108</v>
      </c>
      <c r="AC3" s="3">
        <v>8</v>
      </c>
      <c r="AD3" s="5">
        <f>AB3*AC3/405</f>
        <v>2.1333333333333333</v>
      </c>
      <c r="AE3" s="39">
        <v>-7.2</v>
      </c>
      <c r="AF3" s="39">
        <v>30</v>
      </c>
      <c r="AG3" s="39">
        <v>19.579999999999998</v>
      </c>
      <c r="AH3" s="51">
        <v>0.65300000000000002</v>
      </c>
      <c r="AI3" s="53">
        <v>37.6</v>
      </c>
    </row>
    <row r="4" spans="1:35" x14ac:dyDescent="0.3">
      <c r="A4" s="19" t="s">
        <v>72</v>
      </c>
      <c r="B4" s="56"/>
      <c r="C4" s="59"/>
      <c r="D4" s="56">
        <v>1</v>
      </c>
      <c r="E4" s="56">
        <v>0</v>
      </c>
      <c r="F4" s="56">
        <v>0</v>
      </c>
      <c r="G4" s="56">
        <v>1</v>
      </c>
      <c r="H4" s="56">
        <v>0</v>
      </c>
      <c r="I4" s="56">
        <v>0</v>
      </c>
      <c r="J4" s="56">
        <v>1</v>
      </c>
      <c r="K4" s="56">
        <v>0</v>
      </c>
      <c r="L4" s="56">
        <v>0</v>
      </c>
      <c r="M4" s="56">
        <v>0</v>
      </c>
      <c r="N4" s="56">
        <v>0</v>
      </c>
      <c r="O4" s="56">
        <v>1</v>
      </c>
      <c r="P4" s="3">
        <v>66</v>
      </c>
      <c r="Q4" s="3">
        <v>53</v>
      </c>
      <c r="R4" s="20">
        <v>5</v>
      </c>
      <c r="S4" s="20">
        <v>5</v>
      </c>
      <c r="T4" s="3">
        <v>109</v>
      </c>
      <c r="U4" s="3">
        <v>26</v>
      </c>
      <c r="V4" s="29">
        <v>56.44</v>
      </c>
      <c r="W4" s="3">
        <v>40.119399999999999</v>
      </c>
      <c r="X4" s="29">
        <v>21.873999999999999</v>
      </c>
      <c r="Y4" s="3">
        <v>1.157</v>
      </c>
      <c r="Z4" s="44">
        <f t="shared" si="0"/>
        <v>1157</v>
      </c>
      <c r="AA4" s="3">
        <v>5.4</v>
      </c>
      <c r="AB4" s="3">
        <v>99</v>
      </c>
      <c r="AD4" s="5"/>
      <c r="AE4" s="39">
        <v>-6.1</v>
      </c>
      <c r="AF4" s="39">
        <v>34.1</v>
      </c>
      <c r="AG4" s="39">
        <v>25.631</v>
      </c>
      <c r="AH4" s="51">
        <v>0.752</v>
      </c>
      <c r="AI4" s="53">
        <v>40.5</v>
      </c>
    </row>
    <row r="5" spans="1:35" x14ac:dyDescent="0.3">
      <c r="A5" s="19" t="s">
        <v>35</v>
      </c>
      <c r="B5" s="27" t="str">
        <f>IF(C5&gt;5,"ruim","bom")</f>
        <v>ruim</v>
      </c>
      <c r="C5" s="59">
        <v>7</v>
      </c>
      <c r="D5" s="27">
        <v>0</v>
      </c>
      <c r="E5" s="27">
        <v>0</v>
      </c>
      <c r="F5" s="27">
        <v>1</v>
      </c>
      <c r="G5" s="27">
        <v>0</v>
      </c>
      <c r="H5" s="27">
        <v>0</v>
      </c>
      <c r="I5" s="27">
        <v>0</v>
      </c>
      <c r="J5" s="27">
        <v>0</v>
      </c>
      <c r="K5" s="27">
        <v>1</v>
      </c>
      <c r="L5" s="27">
        <v>0</v>
      </c>
      <c r="M5" s="27">
        <v>0</v>
      </c>
      <c r="N5" s="27">
        <v>0</v>
      </c>
      <c r="O5" s="27">
        <v>0</v>
      </c>
      <c r="P5" s="3">
        <v>75</v>
      </c>
      <c r="Q5" s="3">
        <v>72</v>
      </c>
      <c r="R5" s="20">
        <v>2</v>
      </c>
      <c r="S5" s="20">
        <v>0</v>
      </c>
      <c r="T5" s="3">
        <v>106</v>
      </c>
      <c r="U5" s="3">
        <v>16</v>
      </c>
      <c r="V5" s="29">
        <v>40.323999999999998</v>
      </c>
      <c r="W5" s="29">
        <v>45.6496</v>
      </c>
      <c r="X5" s="29">
        <v>20.7773</v>
      </c>
      <c r="Y5" s="3">
        <v>1.2589999999999999</v>
      </c>
      <c r="Z5" s="44">
        <f t="shared" si="0"/>
        <v>1259</v>
      </c>
      <c r="AA5" s="3">
        <v>5.3</v>
      </c>
      <c r="AB5" s="3">
        <v>96</v>
      </c>
      <c r="AC5" s="3">
        <v>16</v>
      </c>
      <c r="AD5" s="5">
        <f>AB5*AC5/405</f>
        <v>3.7925925925925927</v>
      </c>
      <c r="AE5" s="39">
        <v>-6.4</v>
      </c>
      <c r="AF5" s="39">
        <v>36.049999999999997</v>
      </c>
      <c r="AG5" s="39">
        <v>16.202000000000002</v>
      </c>
      <c r="AH5" s="51">
        <v>0.44900000000000001</v>
      </c>
      <c r="AI5" s="53">
        <v>51.9</v>
      </c>
    </row>
    <row r="6" spans="1:35" x14ac:dyDescent="0.3">
      <c r="A6" s="38" t="s">
        <v>0</v>
      </c>
      <c r="B6" s="27" t="str">
        <f>IF(C6&gt;5,"ruim","bom")</f>
        <v>bom</v>
      </c>
      <c r="C6" s="59">
        <v>3</v>
      </c>
      <c r="D6" s="27">
        <v>1</v>
      </c>
      <c r="E6" s="27">
        <v>0</v>
      </c>
      <c r="F6" s="27">
        <v>1</v>
      </c>
      <c r="G6" s="27">
        <v>0</v>
      </c>
      <c r="H6" s="27">
        <v>0</v>
      </c>
      <c r="I6" s="27">
        <v>0</v>
      </c>
      <c r="J6" s="27">
        <v>1</v>
      </c>
      <c r="K6" s="27">
        <v>1</v>
      </c>
      <c r="L6" s="27">
        <v>0</v>
      </c>
      <c r="M6" s="27">
        <v>0</v>
      </c>
      <c r="N6" s="27">
        <v>1</v>
      </c>
      <c r="O6" s="27">
        <v>0</v>
      </c>
      <c r="P6" s="3">
        <v>58</v>
      </c>
      <c r="Q6" s="3">
        <v>98</v>
      </c>
      <c r="R6" s="40">
        <v>6</v>
      </c>
      <c r="S6" s="40">
        <v>1</v>
      </c>
      <c r="T6" s="41">
        <v>116.3</v>
      </c>
      <c r="U6" s="42">
        <v>28</v>
      </c>
      <c r="V6" s="43">
        <v>40.155999999999999</v>
      </c>
      <c r="W6" s="43">
        <v>30.68</v>
      </c>
      <c r="X6" s="43">
        <v>18.564</v>
      </c>
      <c r="Y6" s="41">
        <v>1.6679999999999999</v>
      </c>
      <c r="Z6" s="44">
        <f t="shared" si="0"/>
        <v>1668</v>
      </c>
      <c r="AA6" s="41">
        <v>5.8</v>
      </c>
      <c r="AB6" s="41">
        <v>81</v>
      </c>
      <c r="AC6" s="41">
        <v>8.1999999999999993</v>
      </c>
      <c r="AD6" s="3">
        <f>AB6*AC6/405</f>
        <v>1.64</v>
      </c>
      <c r="AE6" s="39">
        <v>-1.7</v>
      </c>
      <c r="AF6" s="39">
        <v>32.1</v>
      </c>
      <c r="AG6" s="39">
        <v>16.864999999999998</v>
      </c>
      <c r="AH6" s="51">
        <v>0.52500000000000002</v>
      </c>
      <c r="AI6" s="53">
        <v>42.3</v>
      </c>
    </row>
    <row r="7" spans="1:35" x14ac:dyDescent="0.3">
      <c r="A7" s="19" t="s">
        <v>73</v>
      </c>
      <c r="B7" s="56" t="str">
        <f>IF(C7&gt;5,"ruim","bom")</f>
        <v>ruim</v>
      </c>
      <c r="C7" s="59">
        <v>11</v>
      </c>
      <c r="D7" s="56">
        <v>0</v>
      </c>
      <c r="E7" s="56">
        <v>1</v>
      </c>
      <c r="F7" s="56">
        <v>1</v>
      </c>
      <c r="G7" s="56">
        <v>0</v>
      </c>
      <c r="H7" s="56">
        <v>0</v>
      </c>
      <c r="I7" s="56">
        <v>1</v>
      </c>
      <c r="J7" s="56">
        <v>1</v>
      </c>
      <c r="K7" s="56">
        <v>1</v>
      </c>
      <c r="L7" s="56">
        <v>1</v>
      </c>
      <c r="M7" s="56">
        <v>1</v>
      </c>
      <c r="N7" s="56">
        <v>0</v>
      </c>
      <c r="O7" s="56">
        <v>0</v>
      </c>
      <c r="P7" s="3">
        <v>29</v>
      </c>
      <c r="Q7" s="3">
        <v>28</v>
      </c>
      <c r="R7" s="20">
        <v>20</v>
      </c>
      <c r="S7" s="20">
        <v>12</v>
      </c>
      <c r="T7" s="3">
        <v>113</v>
      </c>
      <c r="U7" s="3">
        <v>14</v>
      </c>
      <c r="V7" s="29">
        <v>42.218499999999999</v>
      </c>
      <c r="W7" s="29">
        <v>35.639600000000002</v>
      </c>
      <c r="X7" s="29">
        <v>19.651199999999999</v>
      </c>
      <c r="Y7" s="3">
        <v>1.2629999999999999</v>
      </c>
      <c r="Z7" s="44">
        <f t="shared" si="0"/>
        <v>1263</v>
      </c>
      <c r="AA7" s="3">
        <v>8.1</v>
      </c>
      <c r="AB7" s="3">
        <v>114</v>
      </c>
      <c r="AC7" s="3">
        <v>120</v>
      </c>
      <c r="AD7" s="5">
        <f>AB7*AC7/405</f>
        <v>33.777777777777779</v>
      </c>
      <c r="AE7" s="39">
        <v>0.5</v>
      </c>
      <c r="AF7" s="39">
        <v>35.880000000000003</v>
      </c>
      <c r="AG7" s="39">
        <v>17.481000000000002</v>
      </c>
      <c r="AH7" s="51">
        <v>0.48699999999999999</v>
      </c>
      <c r="AI7" s="53">
        <v>44.7</v>
      </c>
    </row>
    <row r="8" spans="1:35" x14ac:dyDescent="0.3">
      <c r="A8" s="19" t="s">
        <v>74</v>
      </c>
      <c r="B8" s="27"/>
      <c r="C8" s="59"/>
      <c r="D8" s="56">
        <v>1</v>
      </c>
      <c r="E8" s="27">
        <v>0</v>
      </c>
      <c r="F8" s="27">
        <v>0</v>
      </c>
      <c r="G8" s="27">
        <v>0</v>
      </c>
      <c r="H8" s="27">
        <v>0</v>
      </c>
      <c r="I8" s="27">
        <v>0</v>
      </c>
      <c r="J8" s="27">
        <v>1</v>
      </c>
      <c r="K8" s="27">
        <v>0</v>
      </c>
      <c r="L8" s="27">
        <v>0</v>
      </c>
      <c r="M8" s="27">
        <v>0</v>
      </c>
      <c r="N8" s="27">
        <v>0</v>
      </c>
      <c r="O8" s="27">
        <v>0</v>
      </c>
      <c r="P8" s="39"/>
      <c r="Q8" s="39"/>
      <c r="R8" s="20"/>
      <c r="S8" s="20"/>
      <c r="T8" s="21">
        <v>121.5</v>
      </c>
      <c r="U8" s="21">
        <v>31</v>
      </c>
      <c r="V8" s="22">
        <v>47.554400000000001</v>
      </c>
      <c r="W8" s="22">
        <v>37.652999999999999</v>
      </c>
      <c r="X8" s="22">
        <v>21.682300000000001</v>
      </c>
      <c r="Y8" s="21">
        <v>1.593</v>
      </c>
      <c r="Z8" s="44">
        <f t="shared" si="0"/>
        <v>1593</v>
      </c>
      <c r="AA8" s="30"/>
      <c r="AB8" s="30"/>
      <c r="AC8" s="30"/>
      <c r="AD8" s="5"/>
      <c r="AE8" s="39"/>
      <c r="AF8" s="39">
        <v>31.47</v>
      </c>
      <c r="AG8" s="39">
        <v>21.128</v>
      </c>
      <c r="AH8" s="51">
        <v>0.67100000000000004</v>
      </c>
      <c r="AI8" s="53">
        <v>43.2</v>
      </c>
    </row>
    <row r="9" spans="1:35" x14ac:dyDescent="0.3">
      <c r="A9" s="19" t="s">
        <v>36</v>
      </c>
      <c r="B9" s="27" t="str">
        <f t="shared" ref="B9:B19" si="1">IF(C9&gt;5,"ruim","bom")</f>
        <v>ruim</v>
      </c>
      <c r="C9" s="59">
        <v>7</v>
      </c>
      <c r="D9" s="27">
        <v>0</v>
      </c>
      <c r="E9" s="27">
        <v>0</v>
      </c>
      <c r="F9" s="27">
        <v>1</v>
      </c>
      <c r="G9" s="27">
        <v>0</v>
      </c>
      <c r="H9" s="27">
        <v>0</v>
      </c>
      <c r="I9" s="27">
        <v>1</v>
      </c>
      <c r="J9" s="27">
        <v>1</v>
      </c>
      <c r="K9" s="27">
        <v>1</v>
      </c>
      <c r="L9" s="27">
        <v>0</v>
      </c>
      <c r="M9" s="27">
        <v>1</v>
      </c>
      <c r="N9" s="27">
        <v>1</v>
      </c>
      <c r="O9" s="27">
        <v>0</v>
      </c>
      <c r="P9" s="3">
        <v>25</v>
      </c>
      <c r="Q9" s="3">
        <v>47</v>
      </c>
      <c r="R9" s="20">
        <v>4</v>
      </c>
      <c r="S9" s="20">
        <v>4</v>
      </c>
      <c r="T9" s="3">
        <v>105.3</v>
      </c>
      <c r="U9" s="3">
        <v>16</v>
      </c>
      <c r="V9" s="29">
        <v>37.811999999999998</v>
      </c>
      <c r="W9" s="29">
        <v>33.138500000000001</v>
      </c>
      <c r="X9" s="3">
        <v>16.9786</v>
      </c>
      <c r="Y9" s="3">
        <v>0.92600000000000005</v>
      </c>
      <c r="Z9" s="44">
        <f t="shared" si="0"/>
        <v>926</v>
      </c>
      <c r="AA9" s="3">
        <v>5.4</v>
      </c>
      <c r="AB9" s="3">
        <v>98</v>
      </c>
      <c r="AC9" s="3">
        <v>20.8</v>
      </c>
      <c r="AD9" s="5">
        <f>AB9*AC9/405</f>
        <v>5.0330864197530865</v>
      </c>
      <c r="AE9" s="39">
        <v>-4.7</v>
      </c>
      <c r="AF9" s="39">
        <v>31.8</v>
      </c>
      <c r="AG9" s="39">
        <v>15.433999999999999</v>
      </c>
      <c r="AH9" s="51">
        <v>0.48499999999999999</v>
      </c>
      <c r="AI9" s="53">
        <v>45.6</v>
      </c>
    </row>
    <row r="10" spans="1:35" x14ac:dyDescent="0.3">
      <c r="A10" s="19" t="s">
        <v>37</v>
      </c>
      <c r="B10" s="56" t="str">
        <f t="shared" si="1"/>
        <v>bom</v>
      </c>
      <c r="C10" s="59">
        <v>2</v>
      </c>
      <c r="D10" s="27">
        <v>0</v>
      </c>
      <c r="E10" s="56">
        <v>0</v>
      </c>
      <c r="F10" s="56">
        <v>1</v>
      </c>
      <c r="G10" s="56">
        <v>1</v>
      </c>
      <c r="H10" s="56">
        <v>0</v>
      </c>
      <c r="I10" s="56">
        <v>0</v>
      </c>
      <c r="J10" s="56">
        <v>1</v>
      </c>
      <c r="K10" s="56">
        <v>1</v>
      </c>
      <c r="L10" s="56">
        <v>0</v>
      </c>
      <c r="M10" s="56">
        <v>0</v>
      </c>
      <c r="N10" s="56">
        <v>0</v>
      </c>
      <c r="O10" s="56">
        <v>1</v>
      </c>
      <c r="P10" s="3">
        <v>77</v>
      </c>
      <c r="Q10" s="3">
        <v>91</v>
      </c>
      <c r="R10" s="20">
        <v>0</v>
      </c>
      <c r="S10" s="20">
        <v>0</v>
      </c>
      <c r="T10" s="24">
        <v>116.5</v>
      </c>
      <c r="U10" s="24">
        <v>15</v>
      </c>
      <c r="V10" s="25">
        <v>43.57</v>
      </c>
      <c r="W10" s="25">
        <v>41.125799999999998</v>
      </c>
      <c r="X10" s="25">
        <v>19.7</v>
      </c>
      <c r="Y10" s="24">
        <v>0.9</v>
      </c>
      <c r="Z10" s="44">
        <f t="shared" si="0"/>
        <v>900</v>
      </c>
      <c r="AA10" s="26">
        <v>5.3</v>
      </c>
      <c r="AB10" s="26">
        <v>89</v>
      </c>
      <c r="AC10" s="26">
        <v>8.5</v>
      </c>
      <c r="AD10" s="5">
        <f>AB10*AC10/405</f>
        <v>1.8679012345679011</v>
      </c>
      <c r="AE10" s="39">
        <v>0</v>
      </c>
      <c r="AF10" s="39">
        <v>36.700000000000003</v>
      </c>
      <c r="AG10" s="39">
        <v>19.228000000000002</v>
      </c>
      <c r="AH10" s="51">
        <v>0.50700000000000001</v>
      </c>
      <c r="AI10" s="53">
        <v>46.4</v>
      </c>
    </row>
    <row r="11" spans="1:35" x14ac:dyDescent="0.3">
      <c r="A11" s="19" t="s">
        <v>38</v>
      </c>
      <c r="B11" s="27" t="str">
        <f t="shared" si="1"/>
        <v>bom</v>
      </c>
      <c r="C11" s="59">
        <v>3</v>
      </c>
      <c r="D11" s="56">
        <v>0</v>
      </c>
      <c r="E11" s="27">
        <v>0</v>
      </c>
      <c r="F11" s="27">
        <v>1</v>
      </c>
      <c r="G11" s="27">
        <v>0</v>
      </c>
      <c r="H11" s="27">
        <v>0</v>
      </c>
      <c r="I11" s="27">
        <v>0</v>
      </c>
      <c r="J11" s="27">
        <v>0</v>
      </c>
      <c r="K11" s="27">
        <v>1</v>
      </c>
      <c r="L11" s="27">
        <v>0</v>
      </c>
      <c r="M11" s="27">
        <v>0</v>
      </c>
      <c r="N11" s="27">
        <v>0</v>
      </c>
      <c r="O11" s="27">
        <v>0</v>
      </c>
      <c r="P11" s="3">
        <v>80</v>
      </c>
      <c r="Q11" s="3">
        <v>85</v>
      </c>
      <c r="R11" s="20">
        <v>7</v>
      </c>
      <c r="S11" s="20">
        <v>1</v>
      </c>
      <c r="T11" s="3">
        <v>105</v>
      </c>
      <c r="U11" s="33">
        <v>12</v>
      </c>
      <c r="V11" s="29">
        <v>41.44</v>
      </c>
      <c r="W11" s="29">
        <v>38.31</v>
      </c>
      <c r="X11" s="29">
        <v>19.934999999999999</v>
      </c>
      <c r="Y11" s="3">
        <v>1.149</v>
      </c>
      <c r="Z11" s="44">
        <f t="shared" si="0"/>
        <v>1149</v>
      </c>
      <c r="AA11" s="3">
        <v>5.5</v>
      </c>
      <c r="AB11" s="3">
        <v>95</v>
      </c>
      <c r="AC11" s="3">
        <v>37.5</v>
      </c>
      <c r="AD11" s="5">
        <f>AB11*AC11/405</f>
        <v>8.7962962962962958</v>
      </c>
      <c r="AE11" s="39">
        <v>-6.6</v>
      </c>
      <c r="AF11" s="39">
        <v>34.1</v>
      </c>
      <c r="AG11" s="39">
        <v>17.297000000000001</v>
      </c>
      <c r="AH11" s="51">
        <v>0.50700000000000001</v>
      </c>
      <c r="AI11" s="53">
        <v>46.8</v>
      </c>
    </row>
    <row r="12" spans="1:35" x14ac:dyDescent="0.3">
      <c r="A12" s="19" t="s">
        <v>75</v>
      </c>
      <c r="B12" s="27" t="str">
        <f t="shared" si="1"/>
        <v>ruim</v>
      </c>
      <c r="C12" s="59">
        <v>13</v>
      </c>
      <c r="D12" s="27">
        <v>0</v>
      </c>
      <c r="E12" s="27">
        <v>0</v>
      </c>
      <c r="F12" s="27">
        <v>0</v>
      </c>
      <c r="G12" s="27">
        <v>0</v>
      </c>
      <c r="H12" s="27">
        <v>0</v>
      </c>
      <c r="I12" s="27">
        <v>0</v>
      </c>
      <c r="J12" s="27">
        <v>1</v>
      </c>
      <c r="K12" s="27">
        <v>0</v>
      </c>
      <c r="L12" s="27">
        <v>0</v>
      </c>
      <c r="M12" s="27">
        <v>0</v>
      </c>
      <c r="N12" s="27">
        <v>0</v>
      </c>
      <c r="O12" s="27">
        <v>0</v>
      </c>
      <c r="P12" s="3">
        <v>32</v>
      </c>
      <c r="Q12" s="3">
        <v>54</v>
      </c>
      <c r="R12" s="20">
        <v>9</v>
      </c>
      <c r="S12" s="20">
        <v>3</v>
      </c>
      <c r="T12" s="3">
        <v>108.2</v>
      </c>
      <c r="U12" s="3">
        <v>13</v>
      </c>
      <c r="V12" s="29">
        <v>37.101999999999997</v>
      </c>
      <c r="W12" s="29">
        <v>39.602200000000003</v>
      </c>
      <c r="X12" s="29">
        <v>18.5947</v>
      </c>
      <c r="Y12" s="3">
        <v>1.1739999999999999</v>
      </c>
      <c r="Z12" s="44">
        <f t="shared" si="0"/>
        <v>1174</v>
      </c>
      <c r="AA12" s="3">
        <v>5.5</v>
      </c>
      <c r="AB12" s="3">
        <v>88</v>
      </c>
      <c r="AC12" s="3">
        <v>9</v>
      </c>
      <c r="AD12" s="5">
        <f>AB12*AC12/405</f>
        <v>1.9555555555555555</v>
      </c>
      <c r="AE12" s="39">
        <v>-6.4</v>
      </c>
      <c r="AF12" s="39">
        <v>31.48</v>
      </c>
      <c r="AG12" s="39">
        <v>15.39</v>
      </c>
      <c r="AH12" s="51">
        <v>0.48899999999999999</v>
      </c>
      <c r="AI12" s="53">
        <v>50.5</v>
      </c>
    </row>
    <row r="13" spans="1:35" x14ac:dyDescent="0.3">
      <c r="A13" s="19" t="s">
        <v>76</v>
      </c>
      <c r="B13" s="56" t="str">
        <f t="shared" si="1"/>
        <v>bom</v>
      </c>
      <c r="C13" s="59">
        <v>2</v>
      </c>
      <c r="D13" s="27">
        <v>1</v>
      </c>
      <c r="E13" s="56">
        <v>0</v>
      </c>
      <c r="F13" s="56">
        <v>1</v>
      </c>
      <c r="G13" s="56">
        <v>0</v>
      </c>
      <c r="H13" s="56">
        <v>0</v>
      </c>
      <c r="I13" s="56">
        <v>0</v>
      </c>
      <c r="J13" s="56">
        <v>1</v>
      </c>
      <c r="K13" s="56">
        <v>1</v>
      </c>
      <c r="L13" s="56">
        <v>0</v>
      </c>
      <c r="M13" s="56">
        <v>0</v>
      </c>
      <c r="N13" s="56">
        <v>0</v>
      </c>
      <c r="O13" s="56">
        <v>0</v>
      </c>
      <c r="P13" s="3">
        <v>83</v>
      </c>
      <c r="Q13" s="3">
        <v>77</v>
      </c>
      <c r="R13" s="20">
        <v>1</v>
      </c>
      <c r="S13" s="20">
        <v>3</v>
      </c>
      <c r="T13" s="27">
        <v>110</v>
      </c>
      <c r="U13" s="24">
        <v>31</v>
      </c>
      <c r="V13" s="28">
        <v>54.116</v>
      </c>
      <c r="W13" s="28">
        <v>34.912999999999997</v>
      </c>
      <c r="X13" s="28">
        <v>18.015999999999998</v>
      </c>
      <c r="Y13" s="27">
        <v>1.127</v>
      </c>
      <c r="Z13" s="44">
        <f t="shared" si="0"/>
        <v>1127</v>
      </c>
      <c r="AA13" s="3">
        <v>5.8</v>
      </c>
      <c r="AB13" s="3">
        <v>94</v>
      </c>
      <c r="AD13" s="5"/>
      <c r="AE13" s="39">
        <v>-4.3</v>
      </c>
      <c r="AF13" s="39">
        <v>31.1</v>
      </c>
      <c r="AG13" s="39">
        <v>23.347000000000001</v>
      </c>
      <c r="AH13" s="51">
        <v>0.751</v>
      </c>
      <c r="AI13" s="53">
        <v>38</v>
      </c>
    </row>
    <row r="14" spans="1:35" x14ac:dyDescent="0.3">
      <c r="A14" s="38" t="s">
        <v>1</v>
      </c>
      <c r="B14" s="27" t="str">
        <f t="shared" si="1"/>
        <v>ruim</v>
      </c>
      <c r="C14" s="59">
        <v>11</v>
      </c>
      <c r="D14" s="56">
        <v>0</v>
      </c>
      <c r="E14" s="27">
        <v>1</v>
      </c>
      <c r="F14" s="27">
        <v>1</v>
      </c>
      <c r="G14" s="27">
        <v>0</v>
      </c>
      <c r="H14" s="27">
        <v>0</v>
      </c>
      <c r="I14" s="27">
        <v>0</v>
      </c>
      <c r="J14" s="27">
        <v>0</v>
      </c>
      <c r="K14" s="27">
        <v>1</v>
      </c>
      <c r="L14" s="27">
        <v>1</v>
      </c>
      <c r="M14" s="27">
        <v>0</v>
      </c>
      <c r="N14" s="27">
        <v>1</v>
      </c>
      <c r="O14" s="27">
        <v>0</v>
      </c>
      <c r="P14" s="3">
        <v>8</v>
      </c>
      <c r="Q14" s="3">
        <v>45</v>
      </c>
      <c r="R14" s="40">
        <v>7</v>
      </c>
      <c r="S14" s="40">
        <v>6</v>
      </c>
      <c r="T14" s="41">
        <v>114</v>
      </c>
      <c r="U14" s="41">
        <v>20</v>
      </c>
      <c r="V14" s="43">
        <v>41.247599999999998</v>
      </c>
      <c r="W14" s="43">
        <v>46.8459</v>
      </c>
      <c r="X14" s="43">
        <v>23.310700000000001</v>
      </c>
      <c r="Y14" s="41">
        <v>1.41</v>
      </c>
      <c r="Z14" s="44">
        <f t="shared" si="0"/>
        <v>1410</v>
      </c>
      <c r="AA14" s="41">
        <v>6.6</v>
      </c>
      <c r="AB14" s="41">
        <v>104</v>
      </c>
      <c r="AC14" s="41" t="s">
        <v>105</v>
      </c>
      <c r="AE14" s="39">
        <v>-1.5</v>
      </c>
      <c r="AF14" s="39">
        <v>39.6</v>
      </c>
      <c r="AG14" s="39">
        <v>17.466999999999999</v>
      </c>
      <c r="AH14" s="51">
        <v>0.442</v>
      </c>
      <c r="AI14" s="53">
        <v>51.9</v>
      </c>
    </row>
    <row r="15" spans="1:35" x14ac:dyDescent="0.3">
      <c r="A15" s="19" t="s">
        <v>39</v>
      </c>
      <c r="B15" s="27" t="str">
        <f t="shared" si="1"/>
        <v>bom</v>
      </c>
      <c r="C15" s="59">
        <v>2</v>
      </c>
      <c r="D15" s="56">
        <v>0</v>
      </c>
      <c r="E15" s="27">
        <v>1</v>
      </c>
      <c r="F15" s="27">
        <v>1</v>
      </c>
      <c r="G15" s="27">
        <v>0</v>
      </c>
      <c r="H15" s="27">
        <v>0</v>
      </c>
      <c r="I15" s="27">
        <v>0</v>
      </c>
      <c r="J15" s="27">
        <v>1</v>
      </c>
      <c r="K15" s="27">
        <v>1</v>
      </c>
      <c r="L15" s="27">
        <v>1</v>
      </c>
      <c r="M15" s="27">
        <v>0</v>
      </c>
      <c r="N15" s="27">
        <v>0</v>
      </c>
      <c r="O15" s="27">
        <v>0</v>
      </c>
      <c r="P15" s="3">
        <v>60</v>
      </c>
      <c r="Q15" s="3">
        <v>98</v>
      </c>
      <c r="R15" s="20">
        <v>0</v>
      </c>
      <c r="S15" s="20">
        <v>0</v>
      </c>
      <c r="T15" s="3">
        <v>143.5</v>
      </c>
      <c r="U15" s="3">
        <v>21</v>
      </c>
      <c r="V15" s="29">
        <v>42.93</v>
      </c>
      <c r="W15" s="29">
        <v>53.0334</v>
      </c>
      <c r="X15" s="29">
        <v>33.415700000000001</v>
      </c>
      <c r="Y15" s="3">
        <v>2.335</v>
      </c>
      <c r="Z15" s="44">
        <f t="shared" si="0"/>
        <v>2335</v>
      </c>
      <c r="AA15" s="3">
        <v>6.5</v>
      </c>
      <c r="AB15" s="3">
        <v>128</v>
      </c>
      <c r="AC15" s="26">
        <v>36.4</v>
      </c>
      <c r="AD15" s="5">
        <f>AB15*AC15/405</f>
        <v>11.504197530864197</v>
      </c>
      <c r="AE15" s="39">
        <v>-0.9</v>
      </c>
      <c r="AF15" s="39">
        <v>46.6</v>
      </c>
      <c r="AG15" s="39">
        <v>17.86</v>
      </c>
      <c r="AH15" s="51">
        <v>0.38300000000000001</v>
      </c>
      <c r="AI15" s="53">
        <v>54.4</v>
      </c>
    </row>
    <row r="16" spans="1:35" x14ac:dyDescent="0.3">
      <c r="A16" s="19" t="s">
        <v>77</v>
      </c>
      <c r="B16" s="56" t="str">
        <f t="shared" si="1"/>
        <v>bom</v>
      </c>
      <c r="C16" s="59">
        <v>4</v>
      </c>
      <c r="D16" s="27">
        <v>0</v>
      </c>
      <c r="E16" s="56">
        <v>0</v>
      </c>
      <c r="F16" s="56">
        <v>0</v>
      </c>
      <c r="G16" s="56">
        <v>1</v>
      </c>
      <c r="H16" s="56">
        <v>0</v>
      </c>
      <c r="I16" s="56">
        <v>1</v>
      </c>
      <c r="J16" s="56">
        <v>1</v>
      </c>
      <c r="K16" s="56">
        <v>0</v>
      </c>
      <c r="L16" s="56">
        <v>0</v>
      </c>
      <c r="M16" s="56">
        <v>1</v>
      </c>
      <c r="N16" s="56">
        <v>1</v>
      </c>
      <c r="O16" s="56">
        <v>1</v>
      </c>
      <c r="P16" s="3">
        <v>55</v>
      </c>
      <c r="Q16" s="3">
        <v>71</v>
      </c>
      <c r="R16" s="20">
        <v>2</v>
      </c>
      <c r="S16" s="20">
        <v>3</v>
      </c>
      <c r="T16" s="3">
        <v>109.4</v>
      </c>
      <c r="U16" s="3">
        <v>16</v>
      </c>
      <c r="V16" s="29">
        <v>37.217799999999997</v>
      </c>
      <c r="W16" s="29">
        <v>41.137599999999999</v>
      </c>
      <c r="X16" s="29">
        <v>21.97</v>
      </c>
      <c r="Y16" s="3">
        <v>1.4139999999999999</v>
      </c>
      <c r="Z16" s="44">
        <f t="shared" si="0"/>
        <v>1414</v>
      </c>
      <c r="AA16" s="3">
        <v>5.6</v>
      </c>
      <c r="AB16" s="3">
        <v>85</v>
      </c>
      <c r="AC16" s="3">
        <v>12.3</v>
      </c>
      <c r="AD16" s="5">
        <f>AB16*AC16/405</f>
        <v>2.5814814814814815</v>
      </c>
      <c r="AE16" s="39">
        <v>-4.5</v>
      </c>
      <c r="AF16" s="39">
        <v>31.6</v>
      </c>
      <c r="AG16" s="39">
        <v>15.712</v>
      </c>
      <c r="AH16" s="51">
        <v>0.497</v>
      </c>
      <c r="AI16" s="53">
        <v>51.3</v>
      </c>
    </row>
    <row r="17" spans="1:35" x14ac:dyDescent="0.3">
      <c r="A17" s="38" t="s">
        <v>2</v>
      </c>
      <c r="B17" s="27" t="str">
        <f t="shared" si="1"/>
        <v>ruim</v>
      </c>
      <c r="C17" s="59">
        <v>6</v>
      </c>
      <c r="D17" s="27">
        <v>1</v>
      </c>
      <c r="E17" s="27">
        <v>1</v>
      </c>
      <c r="F17" s="27">
        <v>0</v>
      </c>
      <c r="G17" s="27">
        <v>0</v>
      </c>
      <c r="H17" s="27">
        <v>0</v>
      </c>
      <c r="I17" s="27">
        <v>0</v>
      </c>
      <c r="J17" s="27">
        <v>0</v>
      </c>
      <c r="K17" s="27">
        <v>0</v>
      </c>
      <c r="L17" s="27">
        <v>1</v>
      </c>
      <c r="M17" s="27">
        <v>0</v>
      </c>
      <c r="N17" s="27">
        <v>0</v>
      </c>
      <c r="O17" s="27">
        <v>0</v>
      </c>
      <c r="P17" s="3">
        <v>81</v>
      </c>
      <c r="Q17" s="3">
        <v>90</v>
      </c>
      <c r="R17" s="40">
        <v>4</v>
      </c>
      <c r="S17" s="40">
        <v>0</v>
      </c>
      <c r="T17" s="45">
        <v>116</v>
      </c>
      <c r="U17" s="45">
        <v>26</v>
      </c>
      <c r="V17" s="46">
        <v>63.07</v>
      </c>
      <c r="W17" s="46">
        <v>44.924999999999997</v>
      </c>
      <c r="X17" s="46">
        <v>25.442</v>
      </c>
      <c r="Y17" s="45">
        <v>1.298</v>
      </c>
      <c r="Z17" s="44">
        <f t="shared" si="0"/>
        <v>1298</v>
      </c>
      <c r="AA17" s="45">
        <v>8</v>
      </c>
      <c r="AB17" s="45">
        <v>187</v>
      </c>
      <c r="AC17" s="45">
        <v>25.8</v>
      </c>
      <c r="AD17" s="5">
        <f>AB17*AC17/405</f>
        <v>11.912592592592594</v>
      </c>
      <c r="AE17" s="39"/>
      <c r="AF17" s="39">
        <v>36.479999999999997</v>
      </c>
      <c r="AG17" s="39">
        <v>28.4</v>
      </c>
      <c r="AH17" s="51">
        <v>0.77900000000000003</v>
      </c>
      <c r="AI17" s="53">
        <v>40.5</v>
      </c>
    </row>
    <row r="18" spans="1:35" x14ac:dyDescent="0.3">
      <c r="A18" s="38" t="s">
        <v>3</v>
      </c>
      <c r="B18" s="27" t="str">
        <f t="shared" si="1"/>
        <v>ruim</v>
      </c>
      <c r="C18" s="59">
        <v>6</v>
      </c>
      <c r="D18" s="56">
        <v>1</v>
      </c>
      <c r="E18" s="27">
        <v>1</v>
      </c>
      <c r="F18" s="27">
        <v>1</v>
      </c>
      <c r="G18" s="27">
        <v>0</v>
      </c>
      <c r="H18" s="27">
        <v>1</v>
      </c>
      <c r="I18" s="27">
        <v>1</v>
      </c>
      <c r="J18" s="27">
        <v>0</v>
      </c>
      <c r="K18" s="27">
        <v>1</v>
      </c>
      <c r="L18" s="27">
        <v>1</v>
      </c>
      <c r="M18" s="27">
        <v>1</v>
      </c>
      <c r="N18" s="27">
        <v>0</v>
      </c>
      <c r="O18" s="27">
        <v>0</v>
      </c>
      <c r="P18" s="3">
        <v>47</v>
      </c>
      <c r="Q18" s="3">
        <v>84</v>
      </c>
      <c r="R18" s="40"/>
      <c r="S18" s="40">
        <v>6</v>
      </c>
      <c r="T18" s="41">
        <v>102.8</v>
      </c>
      <c r="U18" s="41">
        <v>26</v>
      </c>
      <c r="V18" s="41">
        <v>41.831000000000003</v>
      </c>
      <c r="W18" s="41">
        <v>25.466999999999999</v>
      </c>
      <c r="X18" s="43">
        <v>13.695</v>
      </c>
      <c r="Y18" s="41">
        <v>0.89400000000000002</v>
      </c>
      <c r="Z18" s="44">
        <f t="shared" si="0"/>
        <v>894</v>
      </c>
      <c r="AA18" s="41">
        <v>6</v>
      </c>
      <c r="AB18" s="41">
        <v>83</v>
      </c>
      <c r="AC18" s="41">
        <v>13.8</v>
      </c>
      <c r="AD18" s="5">
        <f>AB18*AC18/405</f>
        <v>2.8281481481481485</v>
      </c>
      <c r="AE18" s="39">
        <v>-1.3</v>
      </c>
      <c r="AF18" s="39">
        <v>30.2</v>
      </c>
      <c r="AG18" s="39">
        <v>16.664999999999999</v>
      </c>
      <c r="AH18" s="51">
        <v>0.55200000000000005</v>
      </c>
      <c r="AI18" s="53">
        <v>36.799999999999997</v>
      </c>
    </row>
    <row r="19" spans="1:35" x14ac:dyDescent="0.3">
      <c r="A19" s="38" t="s">
        <v>4</v>
      </c>
      <c r="B19" s="56" t="str">
        <f t="shared" si="1"/>
        <v>bom</v>
      </c>
      <c r="C19" s="59">
        <v>3</v>
      </c>
      <c r="D19" s="27">
        <v>0</v>
      </c>
      <c r="E19" s="56">
        <v>1</v>
      </c>
      <c r="F19" s="56">
        <v>1</v>
      </c>
      <c r="G19" s="56">
        <v>1</v>
      </c>
      <c r="H19" s="56">
        <v>0</v>
      </c>
      <c r="I19" s="56">
        <v>1</v>
      </c>
      <c r="J19" s="56">
        <v>1</v>
      </c>
      <c r="K19" s="56">
        <v>1</v>
      </c>
      <c r="L19" s="56">
        <v>1</v>
      </c>
      <c r="M19" s="56">
        <v>1</v>
      </c>
      <c r="N19" s="56">
        <v>0</v>
      </c>
      <c r="O19" s="56">
        <v>1</v>
      </c>
      <c r="P19" s="3">
        <v>52</v>
      </c>
      <c r="Q19" s="3">
        <v>49</v>
      </c>
      <c r="R19" s="40">
        <v>6</v>
      </c>
      <c r="S19" s="40">
        <v>4</v>
      </c>
      <c r="T19" s="47">
        <v>93</v>
      </c>
      <c r="U19" s="47">
        <v>20</v>
      </c>
      <c r="V19" s="48">
        <v>38.189</v>
      </c>
      <c r="W19" s="48">
        <v>29.2837</v>
      </c>
      <c r="X19" s="48">
        <v>14.987</v>
      </c>
      <c r="Y19" s="47">
        <v>0.91700000000000004</v>
      </c>
      <c r="Z19" s="44">
        <f t="shared" si="0"/>
        <v>917</v>
      </c>
      <c r="AA19" s="49">
        <v>6.8</v>
      </c>
      <c r="AB19" s="49">
        <v>155</v>
      </c>
      <c r="AC19" s="49">
        <v>8</v>
      </c>
      <c r="AD19" s="5">
        <f>AB19*AC19/405</f>
        <v>3.0617283950617282</v>
      </c>
      <c r="AE19" s="39">
        <v>1.1000000000000001</v>
      </c>
      <c r="AF19" s="39">
        <v>29.6</v>
      </c>
      <c r="AG19" s="39">
        <v>16.036000000000001</v>
      </c>
      <c r="AH19" s="51">
        <v>0.54300000000000004</v>
      </c>
      <c r="AI19" s="53">
        <v>42.2</v>
      </c>
    </row>
    <row r="20" spans="1:35" x14ac:dyDescent="0.3">
      <c r="A20" s="38" t="s">
        <v>5</v>
      </c>
      <c r="B20" s="27"/>
      <c r="C20" s="59"/>
      <c r="D20" s="27">
        <v>1</v>
      </c>
      <c r="E20" s="27">
        <v>0</v>
      </c>
      <c r="F20" s="27">
        <v>0</v>
      </c>
      <c r="G20" s="27">
        <v>0</v>
      </c>
      <c r="H20" s="27">
        <v>0</v>
      </c>
      <c r="I20" s="27">
        <v>0</v>
      </c>
      <c r="J20" s="27">
        <v>1</v>
      </c>
      <c r="K20" s="27">
        <v>0</v>
      </c>
      <c r="L20" s="27">
        <v>0</v>
      </c>
      <c r="M20" s="27">
        <v>0</v>
      </c>
      <c r="N20" s="27">
        <v>0</v>
      </c>
      <c r="O20" s="27">
        <v>0</v>
      </c>
      <c r="P20" s="39"/>
      <c r="Q20" s="39"/>
      <c r="R20" s="40"/>
      <c r="S20" s="40"/>
      <c r="T20" s="45">
        <v>107</v>
      </c>
      <c r="U20" s="45">
        <v>31</v>
      </c>
      <c r="V20" s="46">
        <v>42.62</v>
      </c>
      <c r="W20" s="46">
        <v>36.536000000000001</v>
      </c>
      <c r="X20" s="46">
        <v>22.24</v>
      </c>
      <c r="Y20" s="45">
        <v>1.605</v>
      </c>
      <c r="Z20" s="44">
        <f t="shared" si="0"/>
        <v>1605</v>
      </c>
      <c r="AA20" s="45"/>
      <c r="AB20" s="45"/>
      <c r="AC20" s="45"/>
      <c r="AD20" s="5"/>
      <c r="AE20" s="39"/>
      <c r="AF20" s="39">
        <v>31.33</v>
      </c>
      <c r="AG20" s="39">
        <v>19.600000000000001</v>
      </c>
      <c r="AH20" s="51">
        <v>0.626</v>
      </c>
      <c r="AI20" s="53">
        <v>46.2</v>
      </c>
    </row>
    <row r="21" spans="1:35" x14ac:dyDescent="0.3">
      <c r="A21" s="19" t="s">
        <v>78</v>
      </c>
      <c r="B21" s="27"/>
      <c r="C21" s="59"/>
      <c r="D21" s="56">
        <v>1</v>
      </c>
      <c r="E21" s="27">
        <v>0</v>
      </c>
      <c r="F21" s="27">
        <v>1</v>
      </c>
      <c r="G21" s="27">
        <v>0</v>
      </c>
      <c r="H21" s="27">
        <v>0</v>
      </c>
      <c r="I21" s="27">
        <v>1</v>
      </c>
      <c r="J21" s="27">
        <v>1</v>
      </c>
      <c r="K21" s="27">
        <v>1</v>
      </c>
      <c r="L21" s="27">
        <v>0</v>
      </c>
      <c r="M21" s="27">
        <v>1</v>
      </c>
      <c r="N21" s="27">
        <v>0</v>
      </c>
      <c r="O21" s="27">
        <v>0</v>
      </c>
      <c r="P21" s="39"/>
      <c r="Q21" s="39"/>
      <c r="R21" s="20"/>
      <c r="S21" s="20"/>
      <c r="T21" s="21">
        <v>116</v>
      </c>
      <c r="U21" s="21">
        <v>20</v>
      </c>
      <c r="V21" s="22">
        <v>50.292000000000002</v>
      </c>
      <c r="W21" s="22">
        <v>37.927</v>
      </c>
      <c r="X21" s="22">
        <v>20.369</v>
      </c>
      <c r="Y21" s="21">
        <v>1.573</v>
      </c>
      <c r="Z21" s="44">
        <f t="shared" si="0"/>
        <v>1573</v>
      </c>
      <c r="AA21" s="30"/>
      <c r="AB21" s="30"/>
      <c r="AC21" s="30"/>
      <c r="AD21" s="5"/>
      <c r="AE21" s="39"/>
      <c r="AF21" s="39">
        <v>33.700000000000003</v>
      </c>
      <c r="AG21" s="39">
        <v>22.725999999999999</v>
      </c>
      <c r="AH21" s="51">
        <v>0.67400000000000004</v>
      </c>
      <c r="AI21" s="53">
        <v>41.9</v>
      </c>
    </row>
    <row r="22" spans="1:35" x14ac:dyDescent="0.3">
      <c r="A22" s="19" t="s">
        <v>40</v>
      </c>
      <c r="B22" s="56" t="str">
        <f t="shared" ref="B22:B27" si="2">IF(C22&gt;5,"ruim","bom")</f>
        <v>bom</v>
      </c>
      <c r="C22" s="59">
        <v>4</v>
      </c>
      <c r="D22" s="56">
        <v>1</v>
      </c>
      <c r="E22" s="56">
        <v>1</v>
      </c>
      <c r="F22" s="56">
        <v>1</v>
      </c>
      <c r="G22" s="56">
        <v>0</v>
      </c>
      <c r="H22" s="56">
        <v>0</v>
      </c>
      <c r="I22" s="56">
        <v>1</v>
      </c>
      <c r="J22" s="56">
        <v>1</v>
      </c>
      <c r="K22" s="56">
        <v>1</v>
      </c>
      <c r="L22" s="56">
        <v>1</v>
      </c>
      <c r="M22" s="56">
        <v>1</v>
      </c>
      <c r="N22" s="56">
        <v>0</v>
      </c>
      <c r="O22" s="56">
        <v>0</v>
      </c>
      <c r="P22" s="3">
        <v>86</v>
      </c>
      <c r="Q22" s="3">
        <v>76</v>
      </c>
      <c r="R22" s="20">
        <v>7</v>
      </c>
      <c r="S22" s="20">
        <v>5</v>
      </c>
      <c r="T22" s="3">
        <v>112.8</v>
      </c>
      <c r="U22" s="3">
        <v>30</v>
      </c>
      <c r="V22" s="29">
        <v>39.857999999999997</v>
      </c>
      <c r="W22" s="29">
        <v>40.089199999999998</v>
      </c>
      <c r="X22" s="29">
        <v>20.530999999999999</v>
      </c>
      <c r="Y22" s="3">
        <v>0.59899999999999998</v>
      </c>
      <c r="Z22" s="44">
        <f t="shared" si="0"/>
        <v>599</v>
      </c>
      <c r="AA22" s="3">
        <v>6.3</v>
      </c>
      <c r="AB22" s="3">
        <v>98</v>
      </c>
      <c r="AC22" s="3">
        <v>22.6</v>
      </c>
      <c r="AD22" s="5">
        <f t="shared" ref="AD22:AD37" si="3">AB22*AC22/405</f>
        <v>5.4686419753086426</v>
      </c>
      <c r="AE22" s="39">
        <v>-6.7</v>
      </c>
      <c r="AF22" s="39">
        <v>36.200000000000003</v>
      </c>
      <c r="AG22" s="39">
        <v>18.199000000000002</v>
      </c>
      <c r="AH22" s="51">
        <v>0.503</v>
      </c>
      <c r="AI22" s="53">
        <v>49</v>
      </c>
    </row>
    <row r="23" spans="1:35" x14ac:dyDescent="0.3">
      <c r="A23" s="19" t="s">
        <v>41</v>
      </c>
      <c r="B23" s="27" t="str">
        <f t="shared" si="2"/>
        <v>bom</v>
      </c>
      <c r="C23" s="59">
        <v>4</v>
      </c>
      <c r="D23" s="27">
        <v>0</v>
      </c>
      <c r="E23" s="27">
        <v>0</v>
      </c>
      <c r="F23" s="27">
        <v>1</v>
      </c>
      <c r="G23" s="27">
        <v>0</v>
      </c>
      <c r="H23" s="27">
        <v>0</v>
      </c>
      <c r="I23" s="27">
        <v>0</v>
      </c>
      <c r="J23" s="27">
        <v>1</v>
      </c>
      <c r="K23" s="27">
        <v>1</v>
      </c>
      <c r="L23" s="27">
        <v>0</v>
      </c>
      <c r="M23" s="27">
        <v>0</v>
      </c>
      <c r="N23" s="27">
        <v>0</v>
      </c>
      <c r="O23" s="27">
        <v>0</v>
      </c>
      <c r="P23" s="3">
        <v>81</v>
      </c>
      <c r="Q23" s="3">
        <v>92</v>
      </c>
      <c r="R23" s="20">
        <v>4</v>
      </c>
      <c r="S23" s="20">
        <v>2</v>
      </c>
      <c r="T23" s="3">
        <v>90.5</v>
      </c>
      <c r="U23" s="5">
        <v>16</v>
      </c>
      <c r="V23" s="29">
        <v>33.131</v>
      </c>
      <c r="W23" s="29">
        <v>32.454000000000001</v>
      </c>
      <c r="X23" s="29">
        <v>15.048</v>
      </c>
      <c r="Y23" s="3">
        <v>0.94</v>
      </c>
      <c r="Z23" s="44">
        <f t="shared" si="0"/>
        <v>940</v>
      </c>
      <c r="AA23" s="3">
        <v>5.4</v>
      </c>
      <c r="AB23" s="3">
        <v>102</v>
      </c>
      <c r="AC23" s="3">
        <v>14.4</v>
      </c>
      <c r="AD23" s="5">
        <f t="shared" si="3"/>
        <v>3.6266666666666665</v>
      </c>
      <c r="AE23" s="39">
        <v>-3.7</v>
      </c>
      <c r="AF23" s="39">
        <v>31.1</v>
      </c>
      <c r="AG23" s="39">
        <v>13.34</v>
      </c>
      <c r="AH23" s="51">
        <v>0.42899999999999999</v>
      </c>
      <c r="AI23" s="53">
        <v>48.2</v>
      </c>
    </row>
    <row r="24" spans="1:35" x14ac:dyDescent="0.3">
      <c r="A24" s="19" t="s">
        <v>79</v>
      </c>
      <c r="B24" s="27" t="str">
        <f t="shared" si="2"/>
        <v>ruim</v>
      </c>
      <c r="C24" s="59">
        <v>9</v>
      </c>
      <c r="D24" s="27">
        <v>0</v>
      </c>
      <c r="E24" s="27">
        <v>1</v>
      </c>
      <c r="F24" s="27">
        <v>1</v>
      </c>
      <c r="G24" s="27">
        <v>0</v>
      </c>
      <c r="H24" s="27">
        <v>0</v>
      </c>
      <c r="I24" s="27">
        <v>1</v>
      </c>
      <c r="J24" s="27">
        <v>0</v>
      </c>
      <c r="K24" s="27">
        <v>1</v>
      </c>
      <c r="L24" s="27">
        <v>1</v>
      </c>
      <c r="M24" s="27">
        <v>1</v>
      </c>
      <c r="N24" s="27">
        <v>1</v>
      </c>
      <c r="O24" s="27">
        <v>0</v>
      </c>
      <c r="P24" s="3">
        <v>70</v>
      </c>
      <c r="Q24" s="3">
        <v>80</v>
      </c>
      <c r="R24" s="20">
        <v>8</v>
      </c>
      <c r="S24" s="20">
        <v>2</v>
      </c>
      <c r="T24" s="3">
        <v>101</v>
      </c>
      <c r="U24" s="5">
        <v>16</v>
      </c>
      <c r="V24" s="29">
        <v>38.691000000000003</v>
      </c>
      <c r="W24" s="29">
        <v>42.365000000000002</v>
      </c>
      <c r="X24" s="29">
        <v>22.088000000000001</v>
      </c>
      <c r="Y24" s="3">
        <v>1.006</v>
      </c>
      <c r="Z24" s="44">
        <f t="shared" si="0"/>
        <v>1006</v>
      </c>
      <c r="AA24" s="3">
        <v>6.1</v>
      </c>
      <c r="AB24" s="3">
        <v>102</v>
      </c>
      <c r="AC24" s="3">
        <v>28.8</v>
      </c>
      <c r="AD24" s="5">
        <f t="shared" si="3"/>
        <v>7.253333333333333</v>
      </c>
      <c r="AE24" s="39">
        <v>-5.9</v>
      </c>
      <c r="AF24" s="39">
        <v>32.4</v>
      </c>
      <c r="AG24" s="39">
        <v>15.901</v>
      </c>
      <c r="AH24" s="51">
        <v>0.49099999999999999</v>
      </c>
      <c r="AI24" s="53">
        <v>50.9</v>
      </c>
    </row>
    <row r="25" spans="1:35" x14ac:dyDescent="0.3">
      <c r="A25" s="19" t="s">
        <v>42</v>
      </c>
      <c r="B25" s="56" t="str">
        <f t="shared" si="2"/>
        <v>ruim</v>
      </c>
      <c r="C25" s="59">
        <v>7</v>
      </c>
      <c r="D25" s="56">
        <v>0</v>
      </c>
      <c r="E25" s="56">
        <v>0</v>
      </c>
      <c r="F25" s="56">
        <v>1</v>
      </c>
      <c r="G25" s="56">
        <v>1</v>
      </c>
      <c r="H25" s="56">
        <v>1</v>
      </c>
      <c r="I25" s="56">
        <v>0</v>
      </c>
      <c r="J25" s="56">
        <v>1</v>
      </c>
      <c r="K25" s="56">
        <v>1</v>
      </c>
      <c r="L25" s="56">
        <v>0</v>
      </c>
      <c r="M25" s="56">
        <v>0</v>
      </c>
      <c r="N25" s="56">
        <v>0</v>
      </c>
      <c r="O25" s="56">
        <v>1</v>
      </c>
      <c r="P25" s="3">
        <v>62</v>
      </c>
      <c r="Q25" s="3">
        <v>81</v>
      </c>
      <c r="R25" s="20">
        <v>4</v>
      </c>
      <c r="S25" s="20">
        <v>4</v>
      </c>
      <c r="T25" s="34">
        <v>99.5</v>
      </c>
      <c r="U25" s="34">
        <v>13</v>
      </c>
      <c r="V25" s="22">
        <v>31.1111</v>
      </c>
      <c r="W25" s="35">
        <v>36.329300000000003</v>
      </c>
      <c r="X25" s="35">
        <v>19.57</v>
      </c>
      <c r="Y25" s="34">
        <v>1.018</v>
      </c>
      <c r="Z25" s="44">
        <f t="shared" si="0"/>
        <v>1018</v>
      </c>
      <c r="AA25" s="21">
        <v>6.6</v>
      </c>
      <c r="AB25" s="21">
        <v>97</v>
      </c>
      <c r="AC25" s="21">
        <v>9.1</v>
      </c>
      <c r="AD25" s="5">
        <f t="shared" si="3"/>
        <v>2.1795061728395062</v>
      </c>
      <c r="AE25" s="39"/>
      <c r="AF25" s="39">
        <v>33.9</v>
      </c>
      <c r="AG25" s="39">
        <v>11.426</v>
      </c>
      <c r="AH25" s="51">
        <v>0.33700000000000002</v>
      </c>
      <c r="AI25" s="53">
        <v>52.6</v>
      </c>
    </row>
    <row r="26" spans="1:35" x14ac:dyDescent="0.3">
      <c r="A26" s="38" t="s">
        <v>6</v>
      </c>
      <c r="B26" s="27" t="str">
        <f t="shared" si="2"/>
        <v>ruim</v>
      </c>
      <c r="C26" s="59">
        <v>9</v>
      </c>
      <c r="D26" s="27">
        <v>0</v>
      </c>
      <c r="E26" s="27">
        <v>0</v>
      </c>
      <c r="F26" s="27">
        <v>0</v>
      </c>
      <c r="G26" s="27">
        <v>0</v>
      </c>
      <c r="H26" s="27">
        <v>1</v>
      </c>
      <c r="I26" s="27">
        <v>0</v>
      </c>
      <c r="J26" s="27">
        <v>1</v>
      </c>
      <c r="K26" s="27">
        <v>0</v>
      </c>
      <c r="L26" s="27">
        <v>0</v>
      </c>
      <c r="M26" s="27">
        <v>0</v>
      </c>
      <c r="N26" s="27">
        <v>0</v>
      </c>
      <c r="O26" s="27">
        <v>0</v>
      </c>
      <c r="P26" s="3">
        <v>77</v>
      </c>
      <c r="Q26" s="3">
        <v>79</v>
      </c>
      <c r="R26" s="40">
        <v>8</v>
      </c>
      <c r="S26" s="40">
        <v>2</v>
      </c>
      <c r="T26" s="41">
        <v>103</v>
      </c>
      <c r="U26" s="41">
        <v>18</v>
      </c>
      <c r="V26" s="43">
        <v>35.520000000000003</v>
      </c>
      <c r="W26" s="43">
        <v>35.411499999999997</v>
      </c>
      <c r="X26" s="43">
        <v>16.742999999999999</v>
      </c>
      <c r="Y26" s="41">
        <v>0.59199999999999997</v>
      </c>
      <c r="Z26" s="44">
        <f t="shared" si="0"/>
        <v>592</v>
      </c>
      <c r="AA26" s="41">
        <v>5.2</v>
      </c>
      <c r="AB26" s="41">
        <v>114</v>
      </c>
      <c r="AC26" s="41">
        <v>5.8</v>
      </c>
      <c r="AD26" s="5">
        <f t="shared" si="3"/>
        <v>1.6325925925925924</v>
      </c>
      <c r="AE26" s="39">
        <v>0.1</v>
      </c>
      <c r="AF26" s="39">
        <v>31.6</v>
      </c>
      <c r="AG26" s="39">
        <v>14.936999999999999</v>
      </c>
      <c r="AH26" s="51">
        <v>0.47299999999999998</v>
      </c>
      <c r="AI26" s="53">
        <v>48.7</v>
      </c>
    </row>
    <row r="27" spans="1:35" x14ac:dyDescent="0.3">
      <c r="A27" s="19" t="s">
        <v>43</v>
      </c>
      <c r="B27" s="27" t="str">
        <f t="shared" si="2"/>
        <v>ruim</v>
      </c>
      <c r="C27" s="59">
        <v>14</v>
      </c>
      <c r="D27" s="27">
        <v>0</v>
      </c>
      <c r="E27" s="27">
        <v>0</v>
      </c>
      <c r="F27" s="27">
        <v>1</v>
      </c>
      <c r="G27" s="27">
        <v>0</v>
      </c>
      <c r="H27" s="27">
        <v>0</v>
      </c>
      <c r="I27" s="27">
        <v>1</v>
      </c>
      <c r="J27" s="27">
        <v>1</v>
      </c>
      <c r="K27" s="27">
        <v>1</v>
      </c>
      <c r="L27" s="27">
        <v>0</v>
      </c>
      <c r="M27" s="27">
        <v>1</v>
      </c>
      <c r="N27" s="27">
        <v>1</v>
      </c>
      <c r="O27" s="27">
        <v>0</v>
      </c>
      <c r="P27" s="3">
        <v>45</v>
      </c>
      <c r="Q27" s="3">
        <v>52</v>
      </c>
      <c r="R27" s="20">
        <v>1</v>
      </c>
      <c r="S27" s="20">
        <v>2</v>
      </c>
      <c r="T27" s="3">
        <v>96</v>
      </c>
      <c r="U27" s="3">
        <v>17</v>
      </c>
      <c r="V27" s="29">
        <v>39.476999999999997</v>
      </c>
      <c r="W27" s="29">
        <v>39.476700000000001</v>
      </c>
      <c r="X27" s="29">
        <v>19.504799999999999</v>
      </c>
      <c r="Y27" s="3">
        <v>0.90900000000000003</v>
      </c>
      <c r="Z27" s="44">
        <f t="shared" si="0"/>
        <v>909</v>
      </c>
      <c r="AA27" s="3">
        <v>5.8</v>
      </c>
      <c r="AB27" s="3">
        <v>104</v>
      </c>
      <c r="AC27" s="3">
        <v>12.1</v>
      </c>
      <c r="AD27" s="5">
        <f t="shared" si="3"/>
        <v>3.10716049382716</v>
      </c>
      <c r="AE27" s="39">
        <v>-7</v>
      </c>
      <c r="AF27" s="39">
        <v>30</v>
      </c>
      <c r="AG27" s="39">
        <v>16.72</v>
      </c>
      <c r="AH27" s="51">
        <v>0.55700000000000005</v>
      </c>
      <c r="AI27" s="53">
        <v>49</v>
      </c>
    </row>
    <row r="28" spans="1:35" x14ac:dyDescent="0.3">
      <c r="A28" s="19" t="s">
        <v>7</v>
      </c>
      <c r="B28" s="56"/>
      <c r="C28" s="59"/>
      <c r="D28" s="56">
        <v>1</v>
      </c>
      <c r="E28" s="56">
        <v>0</v>
      </c>
      <c r="F28" s="56">
        <v>0</v>
      </c>
      <c r="G28" s="56">
        <v>0</v>
      </c>
      <c r="H28" s="56">
        <v>0</v>
      </c>
      <c r="I28" s="56">
        <v>0</v>
      </c>
      <c r="J28" s="56">
        <v>1</v>
      </c>
      <c r="K28" s="56">
        <v>0</v>
      </c>
      <c r="L28" s="56">
        <v>0</v>
      </c>
      <c r="M28" s="56">
        <v>0</v>
      </c>
      <c r="N28" s="56">
        <v>0</v>
      </c>
      <c r="O28" s="56">
        <v>0</v>
      </c>
      <c r="P28" s="39"/>
      <c r="Q28" s="39"/>
      <c r="R28" s="20"/>
      <c r="S28" s="20"/>
      <c r="T28" s="21">
        <v>130</v>
      </c>
      <c r="U28" s="21">
        <v>22</v>
      </c>
      <c r="V28" s="22">
        <v>46.62</v>
      </c>
      <c r="W28" s="22">
        <v>36.536000000000001</v>
      </c>
      <c r="X28" s="23"/>
      <c r="Y28" s="21">
        <v>1.605</v>
      </c>
      <c r="Z28" s="44">
        <f t="shared" si="0"/>
        <v>1605</v>
      </c>
      <c r="AA28" s="21">
        <v>5.0999999999999996</v>
      </c>
      <c r="AB28" s="21">
        <v>105</v>
      </c>
      <c r="AC28" s="21">
        <v>21.8</v>
      </c>
      <c r="AD28" s="5">
        <f t="shared" si="3"/>
        <v>5.6518518518518519</v>
      </c>
      <c r="AE28" s="39"/>
      <c r="AF28" s="39">
        <v>32</v>
      </c>
      <c r="AG28" s="39">
        <v>19.611999999999998</v>
      </c>
      <c r="AH28" s="51">
        <v>0.61299999999999999</v>
      </c>
      <c r="AI28" s="53">
        <v>42.8</v>
      </c>
    </row>
    <row r="29" spans="1:35" x14ac:dyDescent="0.3">
      <c r="A29" s="19" t="s">
        <v>44</v>
      </c>
      <c r="B29" s="27"/>
      <c r="C29" s="59"/>
      <c r="D29" s="56">
        <v>0</v>
      </c>
      <c r="E29" s="27">
        <v>0</v>
      </c>
      <c r="F29" s="27">
        <v>1</v>
      </c>
      <c r="G29" s="27">
        <v>0</v>
      </c>
      <c r="H29" s="27">
        <v>0</v>
      </c>
      <c r="I29" s="27">
        <v>0</v>
      </c>
      <c r="J29" s="27">
        <v>1</v>
      </c>
      <c r="K29" s="27">
        <v>1</v>
      </c>
      <c r="L29" s="27">
        <v>0</v>
      </c>
      <c r="M29" s="27">
        <v>0</v>
      </c>
      <c r="N29" s="27">
        <v>1</v>
      </c>
      <c r="O29" s="27">
        <v>0</v>
      </c>
      <c r="P29" s="3">
        <v>58</v>
      </c>
      <c r="Q29" s="3">
        <v>68</v>
      </c>
      <c r="R29" s="20">
        <v>1</v>
      </c>
      <c r="S29" s="20">
        <v>3</v>
      </c>
      <c r="T29" s="21">
        <v>113.5</v>
      </c>
      <c r="U29" s="21">
        <v>14</v>
      </c>
      <c r="V29" s="22">
        <v>33.042000000000002</v>
      </c>
      <c r="W29" s="21">
        <v>43.470300000000002</v>
      </c>
      <c r="X29" s="22">
        <v>23.879000000000001</v>
      </c>
      <c r="Y29" s="21">
        <v>1.3420000000000001</v>
      </c>
      <c r="Z29" s="44">
        <f t="shared" si="0"/>
        <v>1342</v>
      </c>
      <c r="AA29" s="21">
        <v>5.0999999999999996</v>
      </c>
      <c r="AB29" s="21">
        <v>92</v>
      </c>
      <c r="AC29" s="21">
        <v>26</v>
      </c>
      <c r="AD29" s="5">
        <f t="shared" si="3"/>
        <v>5.9061728395061728</v>
      </c>
      <c r="AE29" s="39"/>
      <c r="AF29" s="39">
        <v>36.5</v>
      </c>
      <c r="AG29" s="39">
        <v>14.516999999999999</v>
      </c>
      <c r="AH29" s="51">
        <v>0.39800000000000002</v>
      </c>
      <c r="AI29" s="53">
        <v>56.8</v>
      </c>
    </row>
    <row r="30" spans="1:35" x14ac:dyDescent="0.3">
      <c r="A30" s="19" t="s">
        <v>8</v>
      </c>
      <c r="B30" s="27" t="str">
        <f t="shared" ref="B30:B58" si="4">IF(C30&gt;5,"ruim","bom")</f>
        <v>ruim</v>
      </c>
      <c r="C30" s="59">
        <v>10</v>
      </c>
      <c r="D30" s="27">
        <v>0</v>
      </c>
      <c r="E30" s="27">
        <v>0</v>
      </c>
      <c r="F30" s="27">
        <v>1</v>
      </c>
      <c r="G30" s="27">
        <v>0</v>
      </c>
      <c r="H30" s="27">
        <v>0</v>
      </c>
      <c r="I30" s="27">
        <v>1</v>
      </c>
      <c r="J30" s="27">
        <v>1</v>
      </c>
      <c r="K30" s="27">
        <v>1</v>
      </c>
      <c r="L30" s="27">
        <v>0</v>
      </c>
      <c r="M30" s="27">
        <v>1</v>
      </c>
      <c r="N30" s="27">
        <v>1</v>
      </c>
      <c r="O30" s="27">
        <v>0</v>
      </c>
      <c r="P30" s="3">
        <v>51</v>
      </c>
      <c r="Q30" s="3">
        <v>63</v>
      </c>
      <c r="R30" s="20">
        <v>7</v>
      </c>
      <c r="S30" s="20">
        <v>4</v>
      </c>
      <c r="T30" s="24">
        <v>90.4</v>
      </c>
      <c r="U30" s="24">
        <v>17</v>
      </c>
      <c r="V30" s="25">
        <v>32.143999999999998</v>
      </c>
      <c r="W30" s="25">
        <v>28.192</v>
      </c>
      <c r="X30" s="25">
        <v>13.355</v>
      </c>
      <c r="Y30" s="24">
        <v>0.49299999999999999</v>
      </c>
      <c r="Z30" s="44">
        <f t="shared" si="0"/>
        <v>493</v>
      </c>
      <c r="AA30" s="26">
        <v>5.9</v>
      </c>
      <c r="AB30" s="26">
        <v>92</v>
      </c>
      <c r="AC30" s="26">
        <v>23.8</v>
      </c>
      <c r="AD30" s="5">
        <f t="shared" si="3"/>
        <v>5.4064197530864195</v>
      </c>
      <c r="AE30" s="39">
        <v>1.1000000000000001</v>
      </c>
      <c r="AF30" s="39">
        <v>31.7</v>
      </c>
      <c r="AG30" s="39">
        <v>12.750999999999999</v>
      </c>
      <c r="AH30" s="51">
        <v>0.40200000000000002</v>
      </c>
      <c r="AI30" s="53">
        <v>45.6</v>
      </c>
    </row>
    <row r="31" spans="1:35" x14ac:dyDescent="0.3">
      <c r="A31" s="19" t="s">
        <v>45</v>
      </c>
      <c r="B31" s="56" t="str">
        <f t="shared" si="4"/>
        <v>bom</v>
      </c>
      <c r="C31" s="59">
        <v>1</v>
      </c>
      <c r="D31" s="27">
        <v>0</v>
      </c>
      <c r="E31" s="56">
        <v>0</v>
      </c>
      <c r="F31" s="56">
        <v>1</v>
      </c>
      <c r="G31" s="56">
        <v>0</v>
      </c>
      <c r="H31" s="56">
        <v>0</v>
      </c>
      <c r="I31" s="56">
        <v>0</v>
      </c>
      <c r="J31" s="56">
        <v>0</v>
      </c>
      <c r="K31" s="56">
        <v>1</v>
      </c>
      <c r="L31" s="56">
        <v>0</v>
      </c>
      <c r="M31" s="56">
        <v>0</v>
      </c>
      <c r="N31" s="56">
        <v>0</v>
      </c>
      <c r="O31" s="56">
        <v>0</v>
      </c>
      <c r="P31" s="3">
        <v>33</v>
      </c>
      <c r="Q31" s="3">
        <v>43</v>
      </c>
      <c r="R31" s="20">
        <v>13</v>
      </c>
      <c r="S31" s="20">
        <v>8</v>
      </c>
      <c r="T31" s="3">
        <v>120</v>
      </c>
      <c r="U31" s="3">
        <v>18</v>
      </c>
      <c r="V31" s="29">
        <v>54.589599999999997</v>
      </c>
      <c r="W31" s="29">
        <v>56.482300000000002</v>
      </c>
      <c r="X31" s="29">
        <v>21.610299999999999</v>
      </c>
      <c r="Y31" s="3">
        <v>1.0509999999999999</v>
      </c>
      <c r="Z31" s="44">
        <f t="shared" si="0"/>
        <v>1051</v>
      </c>
      <c r="AA31" s="3">
        <v>5.6</v>
      </c>
      <c r="AB31" s="3">
        <v>89</v>
      </c>
      <c r="AC31" s="3">
        <v>11</v>
      </c>
      <c r="AD31" s="5">
        <f t="shared" si="3"/>
        <v>2.4172839506172838</v>
      </c>
      <c r="AE31" s="39">
        <v>-6</v>
      </c>
      <c r="AF31" s="39">
        <v>44.92</v>
      </c>
      <c r="AG31" s="39">
        <v>26.126000000000001</v>
      </c>
      <c r="AH31" s="51">
        <v>0.58199999999999996</v>
      </c>
      <c r="AI31" s="53">
        <v>49.8</v>
      </c>
    </row>
    <row r="32" spans="1:35" x14ac:dyDescent="0.3">
      <c r="A32" s="19" t="s">
        <v>46</v>
      </c>
      <c r="B32" s="27" t="str">
        <f t="shared" si="4"/>
        <v>bom</v>
      </c>
      <c r="C32" s="59">
        <v>1</v>
      </c>
      <c r="D32" s="56">
        <v>0</v>
      </c>
      <c r="E32" s="27">
        <v>1</v>
      </c>
      <c r="F32" s="27">
        <v>1</v>
      </c>
      <c r="G32" s="27">
        <v>0</v>
      </c>
      <c r="H32" s="27">
        <v>0</v>
      </c>
      <c r="I32" s="27">
        <v>1</v>
      </c>
      <c r="J32" s="27">
        <v>1</v>
      </c>
      <c r="K32" s="27">
        <v>1</v>
      </c>
      <c r="L32" s="27">
        <v>1</v>
      </c>
      <c r="M32" s="27">
        <v>1</v>
      </c>
      <c r="N32" s="27">
        <v>0</v>
      </c>
      <c r="O32" s="27">
        <v>0</v>
      </c>
      <c r="P32" s="3">
        <v>44</v>
      </c>
      <c r="Q32" s="3">
        <v>76</v>
      </c>
      <c r="R32" s="20">
        <v>5</v>
      </c>
      <c r="S32" s="20">
        <v>2</v>
      </c>
      <c r="T32" s="27">
        <v>118.5</v>
      </c>
      <c r="U32" s="24">
        <v>19</v>
      </c>
      <c r="V32" s="28">
        <v>36.661999999999999</v>
      </c>
      <c r="W32" s="28">
        <v>42.230600000000003</v>
      </c>
      <c r="X32" s="28">
        <v>26.627600000000001</v>
      </c>
      <c r="Y32" s="27">
        <v>1.895</v>
      </c>
      <c r="Z32" s="44">
        <f t="shared" si="0"/>
        <v>1895</v>
      </c>
      <c r="AA32" s="3">
        <v>6.5</v>
      </c>
      <c r="AB32" s="3">
        <v>119</v>
      </c>
      <c r="AC32" s="3">
        <v>25.4</v>
      </c>
      <c r="AD32" s="5">
        <f t="shared" si="3"/>
        <v>7.4632098765432096</v>
      </c>
      <c r="AE32" s="39">
        <v>-6.8</v>
      </c>
      <c r="AF32" s="39">
        <v>37.1</v>
      </c>
      <c r="AG32" s="39">
        <v>13.878</v>
      </c>
      <c r="AH32" s="51">
        <v>0.21299999999999999</v>
      </c>
      <c r="AI32" s="53">
        <v>52.3</v>
      </c>
    </row>
    <row r="33" spans="1:35" x14ac:dyDescent="0.3">
      <c r="A33" s="19" t="s">
        <v>80</v>
      </c>
      <c r="B33" s="27" t="str">
        <f t="shared" si="4"/>
        <v>bom</v>
      </c>
      <c r="C33" s="59">
        <v>3</v>
      </c>
      <c r="D33" s="27">
        <v>0</v>
      </c>
      <c r="E33" s="27">
        <v>0</v>
      </c>
      <c r="F33" s="27">
        <v>1</v>
      </c>
      <c r="G33" s="27">
        <v>0</v>
      </c>
      <c r="H33" s="27">
        <v>0</v>
      </c>
      <c r="I33" s="27">
        <v>1</v>
      </c>
      <c r="J33" s="27">
        <v>1</v>
      </c>
      <c r="K33" s="27">
        <v>1</v>
      </c>
      <c r="L33" s="27">
        <v>0</v>
      </c>
      <c r="M33" s="27">
        <v>1</v>
      </c>
      <c r="N33" s="27">
        <v>0</v>
      </c>
      <c r="O33" s="27">
        <v>0</v>
      </c>
      <c r="P33" s="3">
        <v>81</v>
      </c>
      <c r="Q33" s="3">
        <v>61</v>
      </c>
      <c r="R33" s="20">
        <v>2</v>
      </c>
      <c r="S33" s="20">
        <v>4</v>
      </c>
      <c r="T33" s="3">
        <v>114.2</v>
      </c>
      <c r="U33" s="3">
        <v>19</v>
      </c>
      <c r="V33" s="29">
        <v>37.780999999999999</v>
      </c>
      <c r="W33" s="29">
        <v>39.68</v>
      </c>
      <c r="X33" s="29">
        <v>19.323</v>
      </c>
      <c r="Y33" s="3">
        <v>1.1879999999999999</v>
      </c>
      <c r="Z33" s="44">
        <f t="shared" si="0"/>
        <v>1188</v>
      </c>
      <c r="AA33" s="3">
        <v>5.7</v>
      </c>
      <c r="AB33" s="3">
        <v>90</v>
      </c>
      <c r="AC33" s="3">
        <v>16</v>
      </c>
      <c r="AD33" s="5">
        <f t="shared" si="3"/>
        <v>3.5555555555555554</v>
      </c>
      <c r="AE33" s="39">
        <v>0.5</v>
      </c>
      <c r="AF33" s="39">
        <v>36.25</v>
      </c>
      <c r="AG33" s="39">
        <v>16.044</v>
      </c>
      <c r="AH33" s="51">
        <v>0.443</v>
      </c>
      <c r="AI33" s="53">
        <v>50.1</v>
      </c>
    </row>
    <row r="34" spans="1:35" x14ac:dyDescent="0.3">
      <c r="A34" s="19" t="s">
        <v>47</v>
      </c>
      <c r="B34" s="56" t="str">
        <f t="shared" si="4"/>
        <v>ruim</v>
      </c>
      <c r="C34" s="59">
        <v>7</v>
      </c>
      <c r="D34" s="27">
        <v>0</v>
      </c>
      <c r="E34" s="56">
        <v>1</v>
      </c>
      <c r="F34" s="56">
        <v>1</v>
      </c>
      <c r="G34" s="56">
        <v>0</v>
      </c>
      <c r="H34" s="56">
        <v>0</v>
      </c>
      <c r="I34" s="56">
        <v>1</v>
      </c>
      <c r="J34" s="56">
        <v>1</v>
      </c>
      <c r="K34" s="56">
        <v>1</v>
      </c>
      <c r="L34" s="56">
        <v>1</v>
      </c>
      <c r="M34" s="56">
        <v>1</v>
      </c>
      <c r="N34" s="56">
        <v>1</v>
      </c>
      <c r="O34" s="56">
        <v>0</v>
      </c>
      <c r="P34" s="39"/>
      <c r="Q34" s="39"/>
      <c r="R34" s="20">
        <v>13</v>
      </c>
      <c r="S34" s="20">
        <v>7</v>
      </c>
      <c r="T34" s="3">
        <v>118.5</v>
      </c>
      <c r="U34" s="3">
        <v>17</v>
      </c>
      <c r="V34" s="29">
        <v>37.034799999999997</v>
      </c>
      <c r="W34" s="29">
        <v>46.462000000000003</v>
      </c>
      <c r="X34" s="29">
        <v>22.282</v>
      </c>
      <c r="Y34" s="3">
        <v>1.2649999999999999</v>
      </c>
      <c r="Z34" s="44">
        <f t="shared" ref="Z34:Z66" si="5">Y34*1000</f>
        <v>1265</v>
      </c>
      <c r="AA34" s="3">
        <v>7.7</v>
      </c>
      <c r="AB34" s="3">
        <v>112</v>
      </c>
      <c r="AC34" s="3">
        <v>5</v>
      </c>
      <c r="AD34" s="5">
        <f t="shared" si="3"/>
        <v>1.382716049382716</v>
      </c>
      <c r="AE34" s="39">
        <v>-7.7</v>
      </c>
      <c r="AF34" s="39">
        <v>36.9</v>
      </c>
      <c r="AG34" s="39">
        <v>14.558999999999999</v>
      </c>
      <c r="AH34" s="51">
        <v>0.39500000000000002</v>
      </c>
      <c r="AI34" s="53">
        <v>54.6</v>
      </c>
    </row>
    <row r="35" spans="1:35" x14ac:dyDescent="0.3">
      <c r="A35" s="19" t="s">
        <v>48</v>
      </c>
      <c r="B35" s="27" t="str">
        <f t="shared" si="4"/>
        <v>ruim</v>
      </c>
      <c r="C35" s="59">
        <v>7</v>
      </c>
      <c r="D35" s="56">
        <v>0</v>
      </c>
      <c r="E35" s="27">
        <v>0</v>
      </c>
      <c r="F35" s="27">
        <v>1</v>
      </c>
      <c r="G35" s="27">
        <v>0</v>
      </c>
      <c r="H35" s="27">
        <v>0</v>
      </c>
      <c r="I35" s="27">
        <v>0</v>
      </c>
      <c r="J35" s="27">
        <v>0</v>
      </c>
      <c r="K35" s="27">
        <v>1</v>
      </c>
      <c r="L35" s="27">
        <v>0</v>
      </c>
      <c r="M35" s="27">
        <v>0</v>
      </c>
      <c r="N35" s="27">
        <v>0</v>
      </c>
      <c r="O35" s="27">
        <v>0</v>
      </c>
      <c r="P35" s="3">
        <v>58</v>
      </c>
      <c r="Q35" s="3">
        <v>29</v>
      </c>
      <c r="R35" s="20">
        <v>10</v>
      </c>
      <c r="S35" s="20">
        <v>4</v>
      </c>
      <c r="T35" s="21">
        <v>98</v>
      </c>
      <c r="U35" s="21">
        <v>20</v>
      </c>
      <c r="V35" s="22">
        <v>30.314</v>
      </c>
      <c r="W35" s="22">
        <v>38.792499999999997</v>
      </c>
      <c r="X35" s="22">
        <v>23.0334</v>
      </c>
      <c r="Y35" s="21">
        <v>1.268</v>
      </c>
      <c r="Z35" s="44">
        <f t="shared" si="5"/>
        <v>1268</v>
      </c>
      <c r="AA35" s="21">
        <v>5.6</v>
      </c>
      <c r="AB35" s="21">
        <v>87</v>
      </c>
      <c r="AC35" s="21">
        <v>9</v>
      </c>
      <c r="AD35" s="5">
        <f t="shared" si="3"/>
        <v>1.9333333333333333</v>
      </c>
      <c r="AE35" s="39"/>
      <c r="AF35" s="39">
        <v>36.46</v>
      </c>
      <c r="AG35" s="39">
        <v>12.087</v>
      </c>
      <c r="AH35" s="51">
        <v>0.33200000000000002</v>
      </c>
      <c r="AI35" s="53">
        <v>54.8</v>
      </c>
    </row>
    <row r="36" spans="1:35" x14ac:dyDescent="0.3">
      <c r="A36" s="19" t="s">
        <v>81</v>
      </c>
      <c r="B36" s="27" t="str">
        <f t="shared" si="4"/>
        <v>bom</v>
      </c>
      <c r="C36" s="59">
        <v>5</v>
      </c>
      <c r="D36" s="56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1</v>
      </c>
      <c r="O36" s="27">
        <v>0</v>
      </c>
      <c r="P36" s="3">
        <v>82</v>
      </c>
      <c r="Q36" s="3">
        <v>78</v>
      </c>
      <c r="R36" s="20">
        <v>3</v>
      </c>
      <c r="S36" s="20">
        <v>2</v>
      </c>
      <c r="T36" s="21">
        <v>101</v>
      </c>
      <c r="U36" s="36">
        <v>17</v>
      </c>
      <c r="V36" s="22">
        <v>36.563000000000002</v>
      </c>
      <c r="W36" s="22">
        <v>41.131</v>
      </c>
      <c r="X36" s="22">
        <v>20.428000000000001</v>
      </c>
      <c r="Y36" s="21">
        <v>1</v>
      </c>
      <c r="Z36" s="44">
        <f t="shared" si="5"/>
        <v>1000</v>
      </c>
      <c r="AA36" s="21">
        <v>5.0999999999999996</v>
      </c>
      <c r="AB36" s="21">
        <v>89</v>
      </c>
      <c r="AC36" s="21">
        <v>16.8</v>
      </c>
      <c r="AD36" s="5">
        <f t="shared" si="3"/>
        <v>3.6918518518518519</v>
      </c>
      <c r="AE36" s="39">
        <v>-2.8</v>
      </c>
      <c r="AF36" s="39">
        <v>31.5</v>
      </c>
      <c r="AG36" s="39">
        <v>15.153</v>
      </c>
      <c r="AH36" s="51">
        <v>0.48099999999999998</v>
      </c>
      <c r="AI36" s="53">
        <v>51.5</v>
      </c>
    </row>
    <row r="37" spans="1:35" ht="28.8" x14ac:dyDescent="0.3">
      <c r="A37" s="19" t="s">
        <v>9</v>
      </c>
      <c r="B37" s="56" t="str">
        <f t="shared" si="4"/>
        <v>ruim</v>
      </c>
      <c r="C37" s="59">
        <v>8</v>
      </c>
      <c r="D37" s="27">
        <v>0</v>
      </c>
      <c r="E37" s="56">
        <v>0</v>
      </c>
      <c r="F37" s="56">
        <v>1</v>
      </c>
      <c r="G37" s="56">
        <v>1</v>
      </c>
      <c r="H37" s="56">
        <v>0</v>
      </c>
      <c r="I37" s="56">
        <v>1</v>
      </c>
      <c r="J37" s="56">
        <v>0</v>
      </c>
      <c r="K37" s="56">
        <v>1</v>
      </c>
      <c r="L37" s="56">
        <v>0</v>
      </c>
      <c r="M37" s="56">
        <v>1</v>
      </c>
      <c r="N37" s="56">
        <v>1</v>
      </c>
      <c r="O37" s="56">
        <v>1</v>
      </c>
      <c r="P37" s="3">
        <v>74</v>
      </c>
      <c r="Q37" s="3">
        <v>77</v>
      </c>
      <c r="R37" s="20">
        <v>0</v>
      </c>
      <c r="S37" s="20">
        <v>2</v>
      </c>
      <c r="T37" s="27">
        <v>116.4</v>
      </c>
      <c r="U37" s="24">
        <v>21</v>
      </c>
      <c r="V37" s="28">
        <v>41.55</v>
      </c>
      <c r="W37" s="28">
        <v>49.880200000000002</v>
      </c>
      <c r="X37" s="28">
        <v>26.045200000000001</v>
      </c>
      <c r="Y37" s="27">
        <v>0.76800000000000002</v>
      </c>
      <c r="Z37" s="44">
        <f t="shared" si="5"/>
        <v>768</v>
      </c>
      <c r="AA37" s="3">
        <v>6.6</v>
      </c>
      <c r="AB37" s="3">
        <v>103</v>
      </c>
      <c r="AC37" s="3">
        <v>21.2</v>
      </c>
      <c r="AD37" s="5">
        <f t="shared" si="3"/>
        <v>5.3916049382716045</v>
      </c>
      <c r="AE37" s="39">
        <v>-0.9</v>
      </c>
      <c r="AF37" s="39">
        <v>35.9</v>
      </c>
      <c r="AG37" s="39">
        <v>16.385999999999999</v>
      </c>
      <c r="AH37" s="51">
        <v>0.45600000000000002</v>
      </c>
      <c r="AI37" s="53">
        <v>53.4</v>
      </c>
    </row>
    <row r="38" spans="1:35" x14ac:dyDescent="0.3">
      <c r="A38" s="19" t="s">
        <v>82</v>
      </c>
      <c r="B38" s="27" t="str">
        <f t="shared" si="4"/>
        <v>ruim</v>
      </c>
      <c r="C38" s="59">
        <v>9</v>
      </c>
      <c r="D38" s="27">
        <v>0</v>
      </c>
      <c r="E38" s="27">
        <v>1</v>
      </c>
      <c r="F38" s="27">
        <v>1</v>
      </c>
      <c r="G38" s="27">
        <v>1</v>
      </c>
      <c r="H38" s="27">
        <v>0</v>
      </c>
      <c r="I38" s="27">
        <v>0</v>
      </c>
      <c r="J38" s="27">
        <v>1</v>
      </c>
      <c r="K38" s="27">
        <v>1</v>
      </c>
      <c r="L38" s="27">
        <v>1</v>
      </c>
      <c r="M38" s="27">
        <v>0</v>
      </c>
      <c r="N38" s="27">
        <v>0</v>
      </c>
      <c r="O38" s="27">
        <v>1</v>
      </c>
      <c r="P38" s="3">
        <v>34</v>
      </c>
      <c r="Q38" s="3">
        <v>63</v>
      </c>
      <c r="R38" s="20">
        <v>9</v>
      </c>
      <c r="S38" s="20">
        <v>3</v>
      </c>
      <c r="T38" s="3">
        <v>98</v>
      </c>
      <c r="U38" s="3">
        <v>16</v>
      </c>
      <c r="V38" s="29">
        <v>35.827500000000001</v>
      </c>
      <c r="W38" s="29">
        <v>33.204000000000001</v>
      </c>
      <c r="X38" s="29">
        <v>16.404</v>
      </c>
      <c r="Y38" s="3">
        <v>0.99199999999999999</v>
      </c>
      <c r="Z38" s="44">
        <f t="shared" si="5"/>
        <v>992</v>
      </c>
      <c r="AA38" s="3">
        <v>6.6</v>
      </c>
      <c r="AB38" s="3">
        <v>118</v>
      </c>
      <c r="AD38" s="5"/>
      <c r="AE38" s="39">
        <v>-0.7</v>
      </c>
      <c r="AF38" s="39">
        <v>31</v>
      </c>
      <c r="AG38" s="39">
        <v>15.425000000000001</v>
      </c>
      <c r="AH38" s="51">
        <v>0.498</v>
      </c>
      <c r="AI38" s="53">
        <v>46.5</v>
      </c>
    </row>
    <row r="39" spans="1:35" x14ac:dyDescent="0.3">
      <c r="A39" s="19" t="s">
        <v>49</v>
      </c>
      <c r="B39" s="27" t="str">
        <f t="shared" si="4"/>
        <v>ruim</v>
      </c>
      <c r="C39" s="59">
        <v>8</v>
      </c>
      <c r="D39" s="56">
        <v>0</v>
      </c>
      <c r="E39" s="27">
        <v>0</v>
      </c>
      <c r="F39" s="27">
        <v>0</v>
      </c>
      <c r="G39" s="27">
        <v>0</v>
      </c>
      <c r="H39" s="27">
        <v>0</v>
      </c>
      <c r="I39" s="27">
        <v>0</v>
      </c>
      <c r="J39" s="27">
        <v>1</v>
      </c>
      <c r="K39" s="27">
        <v>0</v>
      </c>
      <c r="L39" s="27">
        <v>0</v>
      </c>
      <c r="M39" s="27">
        <v>0</v>
      </c>
      <c r="N39" s="27">
        <v>0</v>
      </c>
      <c r="O39" s="27">
        <v>0</v>
      </c>
      <c r="P39" s="3">
        <v>24</v>
      </c>
      <c r="Q39" s="3">
        <v>28</v>
      </c>
      <c r="R39" s="20">
        <v>19</v>
      </c>
      <c r="S39" s="20">
        <v>3</v>
      </c>
      <c r="T39" s="3">
        <v>108</v>
      </c>
      <c r="U39" s="3">
        <v>16</v>
      </c>
      <c r="V39" s="29">
        <v>34.603099999999998</v>
      </c>
      <c r="W39" s="29">
        <v>35.779200000000003</v>
      </c>
      <c r="X39" s="29">
        <v>19.658100000000001</v>
      </c>
      <c r="Y39" s="3">
        <v>1.113</v>
      </c>
      <c r="Z39" s="44">
        <f t="shared" si="5"/>
        <v>1113</v>
      </c>
      <c r="AA39" s="3">
        <v>5.5</v>
      </c>
      <c r="AB39" s="3">
        <v>91</v>
      </c>
      <c r="AC39" s="3">
        <v>8</v>
      </c>
      <c r="AD39" s="5">
        <f>AB39*AC39/405</f>
        <v>1.7975308641975309</v>
      </c>
      <c r="AE39" s="39">
        <v>-2.5</v>
      </c>
      <c r="AF39" s="39">
        <v>30.04</v>
      </c>
      <c r="AG39" s="39">
        <v>13.79</v>
      </c>
      <c r="AH39" s="51">
        <v>0.45900000000000002</v>
      </c>
      <c r="AI39" s="53">
        <v>49.6</v>
      </c>
    </row>
    <row r="40" spans="1:35" x14ac:dyDescent="0.3">
      <c r="A40" s="19" t="s">
        <v>10</v>
      </c>
      <c r="B40" s="56" t="str">
        <f t="shared" si="4"/>
        <v>bom</v>
      </c>
      <c r="C40" s="59">
        <v>5</v>
      </c>
      <c r="D40" s="27">
        <v>0</v>
      </c>
      <c r="E40" s="56">
        <v>0</v>
      </c>
      <c r="F40" s="56">
        <v>1</v>
      </c>
      <c r="G40" s="56">
        <v>0</v>
      </c>
      <c r="H40" s="56">
        <v>0</v>
      </c>
      <c r="I40" s="56">
        <v>0</v>
      </c>
      <c r="J40" s="56">
        <v>1</v>
      </c>
      <c r="K40" s="56">
        <v>1</v>
      </c>
      <c r="L40" s="56">
        <v>0</v>
      </c>
      <c r="M40" s="56">
        <v>0</v>
      </c>
      <c r="N40" s="56">
        <v>0</v>
      </c>
      <c r="O40" s="56">
        <v>0</v>
      </c>
      <c r="P40" s="3">
        <v>49</v>
      </c>
      <c r="Q40" s="3">
        <v>92</v>
      </c>
      <c r="R40" s="20">
        <v>2</v>
      </c>
      <c r="S40" s="20">
        <v>1</v>
      </c>
      <c r="T40" s="3">
        <v>101</v>
      </c>
      <c r="U40" s="5">
        <v>13</v>
      </c>
      <c r="V40" s="29">
        <v>40.486600000000003</v>
      </c>
      <c r="W40" s="29">
        <v>44.326999999999998</v>
      </c>
      <c r="X40" s="29">
        <v>21.713000000000001</v>
      </c>
      <c r="Y40" s="3">
        <v>0.75800000000000001</v>
      </c>
      <c r="Z40" s="44">
        <f t="shared" si="5"/>
        <v>758</v>
      </c>
      <c r="AA40" s="3">
        <v>5.6</v>
      </c>
      <c r="AB40" s="3">
        <v>79</v>
      </c>
      <c r="AC40" s="3" t="s">
        <v>105</v>
      </c>
      <c r="AD40" s="5"/>
      <c r="AE40" s="39">
        <v>0.4</v>
      </c>
      <c r="AF40" s="39">
        <v>32.1</v>
      </c>
      <c r="AG40" s="39">
        <v>16.167999999999999</v>
      </c>
      <c r="AH40" s="51">
        <v>0.504</v>
      </c>
      <c r="AI40" s="53">
        <v>51.1</v>
      </c>
    </row>
    <row r="41" spans="1:35" x14ac:dyDescent="0.3">
      <c r="A41" s="19" t="s">
        <v>83</v>
      </c>
      <c r="B41" s="27" t="str">
        <f t="shared" si="4"/>
        <v>ruim</v>
      </c>
      <c r="C41" s="59">
        <v>11</v>
      </c>
      <c r="D41" s="27">
        <v>1</v>
      </c>
      <c r="E41" s="27">
        <v>0</v>
      </c>
      <c r="F41" s="27">
        <v>1</v>
      </c>
      <c r="G41" s="27">
        <v>0</v>
      </c>
      <c r="H41" s="27">
        <v>0</v>
      </c>
      <c r="I41" s="27">
        <v>1</v>
      </c>
      <c r="J41" s="27">
        <v>1</v>
      </c>
      <c r="K41" s="27">
        <v>1</v>
      </c>
      <c r="L41" s="27">
        <v>0</v>
      </c>
      <c r="M41" s="27">
        <v>1</v>
      </c>
      <c r="N41" s="27">
        <v>0</v>
      </c>
      <c r="O41" s="27">
        <v>0</v>
      </c>
      <c r="P41" s="3">
        <v>36</v>
      </c>
      <c r="Q41" s="3">
        <v>63</v>
      </c>
      <c r="R41" s="20">
        <v>7</v>
      </c>
      <c r="S41" s="20">
        <v>7</v>
      </c>
      <c r="T41" s="3">
        <v>107.3</v>
      </c>
      <c r="U41" s="3">
        <v>26</v>
      </c>
      <c r="V41" s="29">
        <v>50.779000000000003</v>
      </c>
      <c r="W41" s="29">
        <v>35.135399999999997</v>
      </c>
      <c r="X41" s="29">
        <v>20.228999999999999</v>
      </c>
      <c r="Y41" s="3">
        <v>1.423</v>
      </c>
      <c r="Z41" s="44">
        <f t="shared" si="5"/>
        <v>1423</v>
      </c>
      <c r="AA41" s="3">
        <v>5.3</v>
      </c>
      <c r="AB41" s="3">
        <v>94</v>
      </c>
      <c r="AC41" s="3">
        <v>12.7</v>
      </c>
      <c r="AD41" s="5">
        <f>AB41*AC41/405</f>
        <v>2.9476543209876542</v>
      </c>
      <c r="AE41" s="39">
        <v>-4.0999999999999996</v>
      </c>
      <c r="AF41" s="39">
        <v>31.1</v>
      </c>
      <c r="AG41" s="39">
        <v>22.407</v>
      </c>
      <c r="AH41" s="51">
        <v>0.72</v>
      </c>
      <c r="AI41" s="53">
        <v>39.6</v>
      </c>
    </row>
    <row r="42" spans="1:35" x14ac:dyDescent="0.3">
      <c r="A42" s="19" t="s">
        <v>50</v>
      </c>
      <c r="B42" s="27" t="str">
        <f t="shared" si="4"/>
        <v>bom</v>
      </c>
      <c r="C42" s="59">
        <v>5</v>
      </c>
      <c r="D42" s="56">
        <v>1</v>
      </c>
      <c r="E42" s="27">
        <v>0</v>
      </c>
      <c r="F42" s="27">
        <v>0</v>
      </c>
      <c r="G42" s="27">
        <v>0</v>
      </c>
      <c r="H42" s="27">
        <v>0</v>
      </c>
      <c r="I42" s="27">
        <v>0</v>
      </c>
      <c r="J42" s="27">
        <v>0</v>
      </c>
      <c r="K42" s="27">
        <v>0</v>
      </c>
      <c r="L42" s="27">
        <v>0</v>
      </c>
      <c r="M42" s="27">
        <v>0</v>
      </c>
      <c r="N42" s="27">
        <v>0</v>
      </c>
      <c r="O42" s="27">
        <v>0</v>
      </c>
      <c r="P42" s="3">
        <v>81</v>
      </c>
      <c r="Q42" s="3">
        <v>62</v>
      </c>
      <c r="R42" s="20">
        <v>9</v>
      </c>
      <c r="S42" s="20">
        <v>3</v>
      </c>
      <c r="T42" s="3">
        <v>111.2</v>
      </c>
      <c r="U42" s="3">
        <v>26</v>
      </c>
      <c r="V42" s="29">
        <v>52.01</v>
      </c>
      <c r="W42" s="29">
        <v>28.785</v>
      </c>
      <c r="X42" s="29">
        <v>16.608000000000001</v>
      </c>
      <c r="Y42" s="3">
        <v>1.0980000000000001</v>
      </c>
      <c r="Z42" s="44">
        <f t="shared" si="5"/>
        <v>1098</v>
      </c>
      <c r="AA42" s="3">
        <v>5.6</v>
      </c>
      <c r="AB42" s="3">
        <v>106</v>
      </c>
      <c r="AC42" s="3">
        <v>9</v>
      </c>
      <c r="AD42" s="5">
        <f>AB42*AC42/405</f>
        <v>2.3555555555555556</v>
      </c>
      <c r="AE42" s="39">
        <v>-9.8000000000000007</v>
      </c>
      <c r="AF42" s="39">
        <v>30.2</v>
      </c>
      <c r="AG42" s="39">
        <v>22.436</v>
      </c>
      <c r="AH42" s="51">
        <v>0.74299999999999999</v>
      </c>
      <c r="AI42" s="53">
        <v>34.299999999999997</v>
      </c>
    </row>
    <row r="43" spans="1:35" x14ac:dyDescent="0.3">
      <c r="A43" s="19" t="s">
        <v>11</v>
      </c>
      <c r="B43" s="56" t="str">
        <f t="shared" si="4"/>
        <v>ruim</v>
      </c>
      <c r="C43" s="59">
        <v>10</v>
      </c>
      <c r="D43" s="56">
        <v>1</v>
      </c>
      <c r="E43" s="56">
        <v>0</v>
      </c>
      <c r="F43" s="56">
        <v>0</v>
      </c>
      <c r="G43" s="56">
        <v>0</v>
      </c>
      <c r="H43" s="56">
        <v>0</v>
      </c>
      <c r="I43" s="56">
        <v>0</v>
      </c>
      <c r="J43" s="56">
        <v>0</v>
      </c>
      <c r="K43" s="56">
        <v>0</v>
      </c>
      <c r="L43" s="56">
        <v>0</v>
      </c>
      <c r="M43" s="56">
        <v>0</v>
      </c>
      <c r="N43" s="56">
        <v>0</v>
      </c>
      <c r="O43" s="56">
        <v>0</v>
      </c>
      <c r="P43" s="3">
        <v>58</v>
      </c>
      <c r="Q43" s="3">
        <v>51</v>
      </c>
      <c r="R43" s="20">
        <v>2</v>
      </c>
      <c r="S43" s="20">
        <v>2</v>
      </c>
      <c r="T43" s="27">
        <v>110.5</v>
      </c>
      <c r="U43" s="24">
        <v>31</v>
      </c>
      <c r="V43" s="28">
        <v>50.002000000000002</v>
      </c>
      <c r="W43" s="28">
        <v>35.610999999999997</v>
      </c>
      <c r="X43" s="28">
        <v>19.152000000000001</v>
      </c>
      <c r="Y43" s="27">
        <v>1.464</v>
      </c>
      <c r="Z43" s="44">
        <f t="shared" si="5"/>
        <v>1464</v>
      </c>
      <c r="AA43" s="3">
        <v>5.7</v>
      </c>
      <c r="AB43" s="3">
        <v>104</v>
      </c>
      <c r="AC43" s="3">
        <v>14.6</v>
      </c>
      <c r="AD43" s="5">
        <f>AB43*AC43/405</f>
        <v>3.7491358024691355</v>
      </c>
      <c r="AE43" s="39">
        <v>-0.5</v>
      </c>
      <c r="AF43" s="39">
        <v>32.4</v>
      </c>
      <c r="AG43" s="39">
        <v>23.081</v>
      </c>
      <c r="AH43" s="51">
        <v>0.71199999999999997</v>
      </c>
      <c r="AI43" s="53">
        <v>40.200000000000003</v>
      </c>
    </row>
    <row r="44" spans="1:35" x14ac:dyDescent="0.3">
      <c r="A44" s="19" t="s">
        <v>12</v>
      </c>
      <c r="B44" s="27" t="str">
        <f t="shared" si="4"/>
        <v>ruim</v>
      </c>
      <c r="C44" s="59">
        <v>6</v>
      </c>
      <c r="D44" s="27">
        <v>0</v>
      </c>
      <c r="E44" s="27">
        <v>0</v>
      </c>
      <c r="F44" s="27">
        <v>0</v>
      </c>
      <c r="G44" s="27">
        <v>0</v>
      </c>
      <c r="H44" s="27">
        <v>0</v>
      </c>
      <c r="I44" s="27">
        <v>0</v>
      </c>
      <c r="J44" s="27">
        <v>0</v>
      </c>
      <c r="K44" s="27">
        <v>0</v>
      </c>
      <c r="L44" s="27">
        <v>0</v>
      </c>
      <c r="M44" s="27">
        <v>1</v>
      </c>
      <c r="N44" s="27">
        <v>1</v>
      </c>
      <c r="O44" s="27">
        <v>0</v>
      </c>
      <c r="P44" s="3">
        <v>77</v>
      </c>
      <c r="Q44" s="3">
        <v>51</v>
      </c>
      <c r="R44" s="20">
        <v>7</v>
      </c>
      <c r="S44" s="20">
        <v>0</v>
      </c>
      <c r="T44" s="3">
        <v>117.5</v>
      </c>
      <c r="U44" s="3">
        <v>22</v>
      </c>
      <c r="V44" s="29">
        <v>37.83</v>
      </c>
      <c r="W44" s="29">
        <v>44.978099999999998</v>
      </c>
      <c r="X44" s="29">
        <v>23.388300000000001</v>
      </c>
      <c r="Y44" s="3">
        <v>1.079</v>
      </c>
      <c r="Z44" s="44">
        <f t="shared" si="5"/>
        <v>1079</v>
      </c>
      <c r="AA44" s="3">
        <v>5.7</v>
      </c>
      <c r="AB44" s="3">
        <v>108</v>
      </c>
      <c r="AC44" s="3">
        <v>9.4</v>
      </c>
      <c r="AD44" s="5">
        <f>AB44*AC44/405</f>
        <v>2.5066666666666668</v>
      </c>
      <c r="AE44" s="39">
        <v>0.2</v>
      </c>
      <c r="AF44" s="39">
        <v>41.6</v>
      </c>
      <c r="AG44" s="39">
        <v>16.291</v>
      </c>
      <c r="AH44" s="51">
        <v>0.39200000000000002</v>
      </c>
      <c r="AI44" s="53">
        <v>53.2</v>
      </c>
    </row>
    <row r="45" spans="1:35" x14ac:dyDescent="0.3">
      <c r="A45" s="19" t="s">
        <v>51</v>
      </c>
      <c r="B45" s="27" t="str">
        <f t="shared" si="4"/>
        <v>bom</v>
      </c>
      <c r="C45" s="59">
        <v>3</v>
      </c>
      <c r="D45" s="27">
        <v>0</v>
      </c>
      <c r="E45" s="27">
        <v>0</v>
      </c>
      <c r="F45" s="27">
        <v>1</v>
      </c>
      <c r="G45" s="27">
        <v>1</v>
      </c>
      <c r="H45" s="27">
        <v>0</v>
      </c>
      <c r="I45" s="27">
        <v>0</v>
      </c>
      <c r="J45" s="27">
        <v>1</v>
      </c>
      <c r="K45" s="27">
        <v>1</v>
      </c>
      <c r="L45" s="27">
        <v>0</v>
      </c>
      <c r="M45" s="27">
        <v>0</v>
      </c>
      <c r="N45" s="27">
        <v>0</v>
      </c>
      <c r="O45" s="27">
        <v>1</v>
      </c>
      <c r="P45" s="3">
        <v>66</v>
      </c>
      <c r="Q45" s="3">
        <v>56</v>
      </c>
      <c r="R45" s="20">
        <v>16</v>
      </c>
      <c r="S45" s="20">
        <v>3</v>
      </c>
      <c r="T45" s="24">
        <v>106.5</v>
      </c>
      <c r="U45" s="24">
        <v>20</v>
      </c>
      <c r="V45" s="25">
        <v>40.811</v>
      </c>
      <c r="W45" s="25">
        <v>34.8581</v>
      </c>
      <c r="X45" s="25">
        <v>16.512699999999999</v>
      </c>
      <c r="Y45" s="24">
        <v>0.749</v>
      </c>
      <c r="Z45" s="44">
        <f t="shared" si="5"/>
        <v>749</v>
      </c>
      <c r="AA45" s="26">
        <v>4.9000000000000004</v>
      </c>
      <c r="AB45" s="26">
        <v>77</v>
      </c>
      <c r="AC45" s="26">
        <v>9.5</v>
      </c>
      <c r="AD45" s="5">
        <f>AB45*AC45/405</f>
        <v>1.8061728395061729</v>
      </c>
      <c r="AE45" s="39">
        <v>-6.1</v>
      </c>
      <c r="AF45" s="39">
        <v>38</v>
      </c>
      <c r="AG45" s="39">
        <v>17.97</v>
      </c>
      <c r="AH45" s="51">
        <v>0.47299999999999998</v>
      </c>
      <c r="AI45" s="53">
        <v>45</v>
      </c>
    </row>
    <row r="46" spans="1:35" x14ac:dyDescent="0.3">
      <c r="A46" s="19" t="s">
        <v>52</v>
      </c>
      <c r="B46" s="56" t="str">
        <f t="shared" si="4"/>
        <v>bom</v>
      </c>
      <c r="C46" s="59">
        <v>3</v>
      </c>
      <c r="D46" s="56">
        <v>1</v>
      </c>
      <c r="E46" s="56">
        <v>0</v>
      </c>
      <c r="F46" s="56">
        <v>1</v>
      </c>
      <c r="G46" s="56">
        <v>0</v>
      </c>
      <c r="H46" s="56">
        <v>0</v>
      </c>
      <c r="I46" s="56">
        <v>1</v>
      </c>
      <c r="J46" s="56">
        <v>1</v>
      </c>
      <c r="K46" s="56">
        <v>1</v>
      </c>
      <c r="L46" s="56">
        <v>0</v>
      </c>
      <c r="M46" s="56">
        <v>1</v>
      </c>
      <c r="N46" s="56">
        <v>0</v>
      </c>
      <c r="O46" s="56">
        <v>0</v>
      </c>
      <c r="P46" s="3">
        <v>85</v>
      </c>
      <c r="Q46" s="3">
        <v>92</v>
      </c>
      <c r="R46" s="20">
        <v>0</v>
      </c>
      <c r="S46" s="20">
        <v>0</v>
      </c>
      <c r="T46" s="27">
        <v>96.4</v>
      </c>
      <c r="U46" s="24">
        <v>29</v>
      </c>
      <c r="V46" s="28">
        <v>45.488999999999997</v>
      </c>
      <c r="W46" s="28">
        <v>25.981000000000002</v>
      </c>
      <c r="X46" s="28">
        <v>14.221</v>
      </c>
      <c r="Y46" s="27">
        <v>0.84599999999999997</v>
      </c>
      <c r="Z46" s="44">
        <f t="shared" si="5"/>
        <v>846</v>
      </c>
      <c r="AA46" s="3">
        <v>5.4</v>
      </c>
      <c r="AB46" s="3">
        <v>90</v>
      </c>
      <c r="AD46" s="5"/>
      <c r="AE46" s="39">
        <v>-2.6</v>
      </c>
      <c r="AF46" s="39">
        <v>30.5</v>
      </c>
      <c r="AG46" s="39">
        <v>20.315000000000001</v>
      </c>
      <c r="AH46" s="51">
        <v>0.66600000000000004</v>
      </c>
      <c r="AI46" s="53">
        <v>35.200000000000003</v>
      </c>
    </row>
    <row r="47" spans="1:35" x14ac:dyDescent="0.3">
      <c r="A47" s="19" t="s">
        <v>53</v>
      </c>
      <c r="B47" s="27" t="str">
        <f t="shared" si="4"/>
        <v>bom</v>
      </c>
      <c r="C47" s="59">
        <v>5</v>
      </c>
      <c r="D47" s="27">
        <v>0</v>
      </c>
      <c r="E47" s="27">
        <v>0</v>
      </c>
      <c r="F47" s="27">
        <v>1</v>
      </c>
      <c r="G47" s="27">
        <v>0</v>
      </c>
      <c r="H47" s="27">
        <v>0</v>
      </c>
      <c r="I47" s="27">
        <v>1</v>
      </c>
      <c r="J47" s="27">
        <v>1</v>
      </c>
      <c r="K47" s="27">
        <v>1</v>
      </c>
      <c r="L47" s="27">
        <v>0</v>
      </c>
      <c r="M47" s="27">
        <v>1</v>
      </c>
      <c r="N47" s="27">
        <v>0</v>
      </c>
      <c r="O47" s="27">
        <v>0</v>
      </c>
      <c r="P47" s="3">
        <v>86</v>
      </c>
      <c r="Q47" s="3">
        <v>89</v>
      </c>
      <c r="R47" s="20">
        <v>5</v>
      </c>
      <c r="S47" s="20">
        <v>0</v>
      </c>
      <c r="T47" s="27">
        <v>107.2</v>
      </c>
      <c r="U47" s="24">
        <v>16</v>
      </c>
      <c r="V47" s="28">
        <v>33.451000000000001</v>
      </c>
      <c r="W47" s="28">
        <v>32.838000000000001</v>
      </c>
      <c r="X47" s="28">
        <v>18.21</v>
      </c>
      <c r="Y47" s="27">
        <v>1.2430000000000001</v>
      </c>
      <c r="Z47" s="44">
        <f t="shared" si="5"/>
        <v>1243</v>
      </c>
      <c r="AA47" s="3">
        <v>5.7</v>
      </c>
      <c r="AB47" s="3">
        <v>99</v>
      </c>
      <c r="AC47" s="3">
        <v>11.3</v>
      </c>
      <c r="AD47" s="5">
        <f>AB47*AC47/405</f>
        <v>2.7622222222222224</v>
      </c>
      <c r="AE47" s="39">
        <v>-1.3</v>
      </c>
      <c r="AF47" s="39">
        <v>31.3</v>
      </c>
      <c r="AG47" s="39">
        <v>12.519</v>
      </c>
      <c r="AH47" s="51">
        <v>0.4</v>
      </c>
      <c r="AI47" s="53">
        <v>48</v>
      </c>
    </row>
    <row r="48" spans="1:35" x14ac:dyDescent="0.3">
      <c r="A48" s="19" t="s">
        <v>13</v>
      </c>
      <c r="B48" s="27" t="str">
        <f t="shared" si="4"/>
        <v>bom</v>
      </c>
      <c r="C48" s="59">
        <v>4</v>
      </c>
      <c r="D48" s="27">
        <v>0</v>
      </c>
      <c r="E48" s="27">
        <v>1</v>
      </c>
      <c r="F48" s="27">
        <v>0</v>
      </c>
      <c r="G48" s="27">
        <v>0</v>
      </c>
      <c r="H48" s="27">
        <v>0</v>
      </c>
      <c r="I48" s="27">
        <v>0</v>
      </c>
      <c r="J48" s="27">
        <v>1</v>
      </c>
      <c r="K48" s="27">
        <v>0</v>
      </c>
      <c r="L48" s="27">
        <v>1</v>
      </c>
      <c r="M48" s="27">
        <v>0</v>
      </c>
      <c r="N48" s="27">
        <v>0</v>
      </c>
      <c r="O48" s="27">
        <v>0</v>
      </c>
      <c r="P48" s="3">
        <v>82</v>
      </c>
      <c r="Q48" s="3">
        <v>96</v>
      </c>
      <c r="R48" s="20">
        <v>0</v>
      </c>
      <c r="S48" s="20">
        <v>0</v>
      </c>
      <c r="T48" s="3">
        <v>120.5</v>
      </c>
      <c r="U48" s="3">
        <v>16</v>
      </c>
      <c r="V48" s="29">
        <v>46.817500000000003</v>
      </c>
      <c r="W48" s="29">
        <v>45.150799999999997</v>
      </c>
      <c r="X48" s="29">
        <v>24.834800000000001</v>
      </c>
      <c r="Y48" s="3">
        <v>1.5029999999999999</v>
      </c>
      <c r="Z48" s="44">
        <f t="shared" si="5"/>
        <v>1503</v>
      </c>
      <c r="AA48" s="3">
        <v>6.2</v>
      </c>
      <c r="AB48" s="3">
        <v>103</v>
      </c>
      <c r="AC48" s="3">
        <v>11</v>
      </c>
      <c r="AD48" s="5">
        <f>AB48*AC48/405</f>
        <v>2.7975308641975309</v>
      </c>
      <c r="AE48" s="39">
        <v>3.1</v>
      </c>
      <c r="AF48" s="39">
        <v>42.32</v>
      </c>
      <c r="AG48" s="39">
        <v>20.346</v>
      </c>
      <c r="AH48" s="51">
        <v>0.48099999999999998</v>
      </c>
      <c r="AI48" s="53">
        <v>48.2</v>
      </c>
    </row>
    <row r="49" spans="1:35" x14ac:dyDescent="0.3">
      <c r="A49" s="37" t="s">
        <v>84</v>
      </c>
      <c r="B49" s="56" t="str">
        <f t="shared" si="4"/>
        <v>ruim</v>
      </c>
      <c r="C49" s="59">
        <v>11</v>
      </c>
      <c r="D49" s="56">
        <v>0</v>
      </c>
      <c r="E49" s="56">
        <v>0</v>
      </c>
      <c r="F49" s="56">
        <v>0</v>
      </c>
      <c r="G49" s="56">
        <v>1</v>
      </c>
      <c r="H49" s="56">
        <v>0</v>
      </c>
      <c r="I49" s="56">
        <v>0</v>
      </c>
      <c r="J49" s="56">
        <v>0</v>
      </c>
      <c r="K49" s="56">
        <v>0</v>
      </c>
      <c r="L49" s="56">
        <v>0</v>
      </c>
      <c r="M49" s="56">
        <v>0</v>
      </c>
      <c r="N49" s="56">
        <v>1</v>
      </c>
      <c r="O49" s="56">
        <v>1</v>
      </c>
      <c r="P49" s="3">
        <v>66</v>
      </c>
      <c r="Q49" s="3">
        <v>45</v>
      </c>
      <c r="R49" s="20">
        <v>10</v>
      </c>
      <c r="S49" s="20">
        <v>7</v>
      </c>
      <c r="T49" s="3">
        <v>103</v>
      </c>
      <c r="U49" s="3">
        <v>16</v>
      </c>
      <c r="V49" s="29">
        <v>39.844999999999999</v>
      </c>
      <c r="W49" s="29">
        <v>39.511699999999998</v>
      </c>
      <c r="X49" s="29">
        <v>20.5976</v>
      </c>
      <c r="Y49" s="3">
        <v>1.304</v>
      </c>
      <c r="Z49" s="44">
        <f t="shared" si="5"/>
        <v>1304</v>
      </c>
      <c r="AA49" s="3">
        <v>5.5</v>
      </c>
      <c r="AB49" s="3">
        <v>88</v>
      </c>
      <c r="AD49" s="5"/>
      <c r="AE49" s="39">
        <v>-7.6</v>
      </c>
      <c r="AF49" s="39">
        <v>33.590000000000003</v>
      </c>
      <c r="AG49" s="39">
        <v>16.004999999999999</v>
      </c>
      <c r="AH49" s="51">
        <v>0.47599999999999998</v>
      </c>
      <c r="AI49" s="53">
        <v>48.5</v>
      </c>
    </row>
    <row r="50" spans="1:35" ht="28.8" x14ac:dyDescent="0.3">
      <c r="A50" s="19" t="s">
        <v>85</v>
      </c>
      <c r="B50" s="27" t="str">
        <f t="shared" si="4"/>
        <v>bom</v>
      </c>
      <c r="C50" s="59">
        <v>4</v>
      </c>
      <c r="D50" s="56">
        <v>1</v>
      </c>
      <c r="E50" s="27">
        <v>1</v>
      </c>
      <c r="F50" s="27">
        <v>1</v>
      </c>
      <c r="G50" s="27">
        <v>0</v>
      </c>
      <c r="H50" s="27">
        <v>0</v>
      </c>
      <c r="I50" s="27">
        <v>0</v>
      </c>
      <c r="J50" s="27">
        <v>1</v>
      </c>
      <c r="K50" s="27">
        <v>1</v>
      </c>
      <c r="L50" s="27">
        <v>1</v>
      </c>
      <c r="M50" s="27">
        <v>0</v>
      </c>
      <c r="N50" s="27">
        <v>0</v>
      </c>
      <c r="O50" s="27">
        <v>0</v>
      </c>
      <c r="P50" s="3">
        <v>40</v>
      </c>
      <c r="Q50" s="3">
        <v>70</v>
      </c>
      <c r="R50" s="20">
        <v>5</v>
      </c>
      <c r="S50" s="20">
        <v>5</v>
      </c>
      <c r="T50" s="3">
        <v>134</v>
      </c>
      <c r="U50" s="3">
        <v>28</v>
      </c>
      <c r="V50" s="29">
        <v>57.501899999999999</v>
      </c>
      <c r="W50" s="29">
        <v>56.2</v>
      </c>
      <c r="X50" s="29">
        <v>34.051600000000001</v>
      </c>
      <c r="Y50" s="3">
        <v>2.2679999999999998</v>
      </c>
      <c r="Z50" s="44">
        <f t="shared" si="5"/>
        <v>2268</v>
      </c>
      <c r="AA50" s="3">
        <v>6.3</v>
      </c>
      <c r="AB50" s="3">
        <v>109</v>
      </c>
      <c r="AD50" s="5"/>
      <c r="AE50" s="39">
        <v>-2.5</v>
      </c>
      <c r="AF50" s="39">
        <v>35.6</v>
      </c>
      <c r="AG50" s="39">
        <v>25.067</v>
      </c>
      <c r="AH50" s="51">
        <v>0.70399999999999996</v>
      </c>
      <c r="AI50" s="53">
        <v>48.2</v>
      </c>
    </row>
    <row r="51" spans="1:35" x14ac:dyDescent="0.3">
      <c r="A51" s="19" t="s">
        <v>14</v>
      </c>
      <c r="B51" s="27" t="str">
        <f t="shared" si="4"/>
        <v>bom</v>
      </c>
      <c r="C51" s="59">
        <v>1</v>
      </c>
      <c r="D51" s="27">
        <v>1</v>
      </c>
      <c r="E51" s="27">
        <v>0</v>
      </c>
      <c r="F51" s="27">
        <v>1</v>
      </c>
      <c r="G51" s="27">
        <v>0</v>
      </c>
      <c r="H51" s="27">
        <v>0</v>
      </c>
      <c r="I51" s="27">
        <v>0</v>
      </c>
      <c r="J51" s="27">
        <v>0</v>
      </c>
      <c r="K51" s="27">
        <v>1</v>
      </c>
      <c r="L51" s="27">
        <v>0</v>
      </c>
      <c r="M51" s="27">
        <v>0</v>
      </c>
      <c r="N51" s="27">
        <v>0</v>
      </c>
      <c r="O51" s="27">
        <v>0</v>
      </c>
      <c r="P51" s="3">
        <v>92</v>
      </c>
      <c r="Q51" s="3">
        <v>89</v>
      </c>
      <c r="R51" s="20">
        <v>0</v>
      </c>
      <c r="S51" s="20">
        <v>0</v>
      </c>
      <c r="T51" s="3">
        <v>108.3</v>
      </c>
      <c r="U51" s="3">
        <v>30</v>
      </c>
      <c r="V51" s="29">
        <v>50.840600000000002</v>
      </c>
      <c r="W51" s="29">
        <v>32.148800000000001</v>
      </c>
      <c r="X51" s="29">
        <v>17.678599999999999</v>
      </c>
      <c r="Y51" s="3">
        <v>1.4510000000000001</v>
      </c>
      <c r="Z51" s="44">
        <f t="shared" si="5"/>
        <v>1451</v>
      </c>
      <c r="AA51" s="3">
        <v>5.7</v>
      </c>
      <c r="AB51" s="3">
        <v>88</v>
      </c>
      <c r="AC51" s="3">
        <v>9</v>
      </c>
      <c r="AD51" s="5">
        <f>AB51*AC51/405</f>
        <v>1.9555555555555555</v>
      </c>
      <c r="AE51" s="39">
        <v>0.5</v>
      </c>
      <c r="AF51" s="39">
        <v>30.3</v>
      </c>
      <c r="AG51" s="39">
        <v>23.382000000000001</v>
      </c>
      <c r="AH51" s="51">
        <v>0.77200000000000002</v>
      </c>
      <c r="AI51" s="53">
        <v>37.5</v>
      </c>
    </row>
    <row r="52" spans="1:35" x14ac:dyDescent="0.3">
      <c r="A52" s="19" t="s">
        <v>54</v>
      </c>
      <c r="B52" s="56" t="str">
        <f t="shared" si="4"/>
        <v>bom</v>
      </c>
      <c r="C52" s="59">
        <v>5</v>
      </c>
      <c r="D52" s="27">
        <v>1</v>
      </c>
      <c r="E52" s="56">
        <v>1</v>
      </c>
      <c r="F52" s="56">
        <v>1</v>
      </c>
      <c r="G52" s="56">
        <v>0</v>
      </c>
      <c r="H52" s="56">
        <v>0</v>
      </c>
      <c r="I52" s="56">
        <v>1</v>
      </c>
      <c r="J52" s="56">
        <v>1</v>
      </c>
      <c r="K52" s="56">
        <v>1</v>
      </c>
      <c r="L52" s="56">
        <v>1</v>
      </c>
      <c r="M52" s="56">
        <v>1</v>
      </c>
      <c r="N52" s="56">
        <v>0</v>
      </c>
      <c r="O52" s="56">
        <v>0</v>
      </c>
      <c r="P52" s="3">
        <v>59</v>
      </c>
      <c r="Q52" s="3">
        <v>62</v>
      </c>
      <c r="R52" s="20">
        <v>5</v>
      </c>
      <c r="S52" s="20">
        <v>3</v>
      </c>
      <c r="T52" s="3">
        <v>111</v>
      </c>
      <c r="U52" s="33">
        <v>19</v>
      </c>
      <c r="V52" s="29">
        <v>50.597999999999999</v>
      </c>
      <c r="W52" s="29">
        <v>34.671500000000002</v>
      </c>
      <c r="X52" s="29">
        <v>22.581499999999998</v>
      </c>
      <c r="Y52" s="3">
        <v>1.921</v>
      </c>
      <c r="Z52" s="44">
        <f t="shared" si="5"/>
        <v>1921</v>
      </c>
      <c r="AA52" s="3">
        <v>6</v>
      </c>
      <c r="AB52" s="3">
        <v>118</v>
      </c>
      <c r="AC52" s="3">
        <v>26.1</v>
      </c>
      <c r="AD52" s="5">
        <f>AB52*AC52/405</f>
        <v>7.6044444444444448</v>
      </c>
      <c r="AE52" s="39">
        <v>-6.6</v>
      </c>
      <c r="AF52" s="39">
        <v>32.200000000000003</v>
      </c>
      <c r="AG52" s="39">
        <v>22.242999999999999</v>
      </c>
      <c r="AH52" s="51">
        <v>0.69099999999999995</v>
      </c>
      <c r="AI52" s="53">
        <v>39.6</v>
      </c>
    </row>
    <row r="53" spans="1:35" x14ac:dyDescent="0.3">
      <c r="A53" s="19" t="s">
        <v>55</v>
      </c>
      <c r="B53" s="27" t="str">
        <f t="shared" si="4"/>
        <v>bom</v>
      </c>
      <c r="C53" s="59">
        <v>5</v>
      </c>
      <c r="D53" s="56">
        <v>1</v>
      </c>
      <c r="E53" s="27">
        <v>1</v>
      </c>
      <c r="F53" s="27">
        <v>1</v>
      </c>
      <c r="G53" s="27">
        <v>0</v>
      </c>
      <c r="H53" s="27">
        <v>0</v>
      </c>
      <c r="I53" s="27">
        <v>1</v>
      </c>
      <c r="J53" s="27">
        <v>0</v>
      </c>
      <c r="K53" s="27">
        <v>1</v>
      </c>
      <c r="L53" s="27">
        <v>1</v>
      </c>
      <c r="M53" s="27">
        <v>1</v>
      </c>
      <c r="N53" s="27">
        <v>0</v>
      </c>
      <c r="O53" s="27">
        <v>0</v>
      </c>
      <c r="P53" s="3">
        <v>61</v>
      </c>
      <c r="Q53" s="3">
        <v>66</v>
      </c>
      <c r="R53" s="20">
        <v>3</v>
      </c>
      <c r="S53" s="20">
        <v>2</v>
      </c>
      <c r="T53" s="21">
        <v>145.5</v>
      </c>
      <c r="U53" s="21">
        <v>32</v>
      </c>
      <c r="V53" s="21">
        <v>68.210599999999999</v>
      </c>
      <c r="W53" s="21">
        <v>66.438999999999993</v>
      </c>
      <c r="X53" s="22">
        <v>38.201599999999999</v>
      </c>
      <c r="Y53" s="21">
        <v>1.206</v>
      </c>
      <c r="Z53" s="44">
        <f t="shared" si="5"/>
        <v>1206</v>
      </c>
      <c r="AA53" s="21">
        <v>6.7</v>
      </c>
      <c r="AB53" s="21">
        <v>149</v>
      </c>
      <c r="AC53" s="21">
        <v>47.4</v>
      </c>
      <c r="AD53" s="5">
        <f>AB53*AC53/405</f>
        <v>17.438518518518517</v>
      </c>
      <c r="AE53" s="39"/>
      <c r="AF53" s="39">
        <v>46.5</v>
      </c>
      <c r="AG53" s="39">
        <v>27.808</v>
      </c>
      <c r="AH53" s="51">
        <v>0.59799999999999998</v>
      </c>
      <c r="AI53" s="53">
        <v>48.3</v>
      </c>
    </row>
    <row r="54" spans="1:35" x14ac:dyDescent="0.3">
      <c r="A54" s="19" t="s">
        <v>15</v>
      </c>
      <c r="B54" s="27" t="str">
        <f t="shared" si="4"/>
        <v>bom</v>
      </c>
      <c r="C54" s="59">
        <v>3</v>
      </c>
      <c r="D54" s="27">
        <v>0</v>
      </c>
      <c r="E54" s="27">
        <v>1</v>
      </c>
      <c r="F54" s="27">
        <v>1</v>
      </c>
      <c r="G54" s="27">
        <v>0</v>
      </c>
      <c r="H54" s="27">
        <v>0</v>
      </c>
      <c r="I54" s="27">
        <v>0</v>
      </c>
      <c r="J54" s="27">
        <v>1</v>
      </c>
      <c r="K54" s="27">
        <v>1</v>
      </c>
      <c r="L54" s="27">
        <v>1</v>
      </c>
      <c r="M54" s="27">
        <v>0</v>
      </c>
      <c r="N54" s="27">
        <v>0</v>
      </c>
      <c r="O54" s="27">
        <v>0</v>
      </c>
      <c r="P54" s="39"/>
      <c r="Q54" s="39"/>
      <c r="R54" s="20">
        <v>5</v>
      </c>
      <c r="S54" s="20">
        <v>1</v>
      </c>
      <c r="T54" s="3">
        <v>110.9</v>
      </c>
      <c r="U54" s="3">
        <v>16</v>
      </c>
      <c r="V54" s="29">
        <v>34.456000000000003</v>
      </c>
      <c r="W54" s="29">
        <v>44.47</v>
      </c>
      <c r="X54" s="29">
        <v>23.356000000000002</v>
      </c>
      <c r="Y54" s="3">
        <v>1.274</v>
      </c>
      <c r="Z54" s="44">
        <f t="shared" si="5"/>
        <v>1274</v>
      </c>
      <c r="AA54" s="3">
        <v>5.9</v>
      </c>
      <c r="AB54" s="3">
        <v>107</v>
      </c>
      <c r="AC54" s="3">
        <v>8.6999999999999993</v>
      </c>
      <c r="AD54" s="5">
        <f>AB54*AC54/405</f>
        <v>2.2985185185185184</v>
      </c>
      <c r="AE54" s="39">
        <v>-0.3</v>
      </c>
      <c r="AF54" s="39">
        <v>36.1</v>
      </c>
      <c r="AG54" s="39">
        <v>13.701000000000001</v>
      </c>
      <c r="AH54" s="51">
        <v>0.38</v>
      </c>
      <c r="AI54" s="53">
        <v>55.2</v>
      </c>
    </row>
    <row r="55" spans="1:35" x14ac:dyDescent="0.3">
      <c r="A55" s="19" t="s">
        <v>86</v>
      </c>
      <c r="B55" s="56" t="str">
        <f t="shared" si="4"/>
        <v>ruim</v>
      </c>
      <c r="C55" s="59">
        <v>8</v>
      </c>
      <c r="D55" s="27">
        <v>0</v>
      </c>
      <c r="E55" s="56">
        <v>1</v>
      </c>
      <c r="F55" s="56">
        <v>1</v>
      </c>
      <c r="G55" s="56">
        <v>0</v>
      </c>
      <c r="H55" s="56">
        <v>1</v>
      </c>
      <c r="I55" s="56">
        <v>1</v>
      </c>
      <c r="J55" s="56">
        <v>0</v>
      </c>
      <c r="K55" s="56">
        <v>1</v>
      </c>
      <c r="L55" s="56">
        <v>1</v>
      </c>
      <c r="M55" s="56">
        <v>1</v>
      </c>
      <c r="N55" s="56">
        <v>1</v>
      </c>
      <c r="O55" s="56">
        <v>0</v>
      </c>
      <c r="P55" s="3">
        <v>45</v>
      </c>
      <c r="Q55" s="3">
        <v>57</v>
      </c>
      <c r="R55" s="20">
        <v>10</v>
      </c>
      <c r="S55" s="20">
        <v>2</v>
      </c>
      <c r="T55" s="3">
        <v>109.7</v>
      </c>
      <c r="U55" s="3">
        <v>19</v>
      </c>
      <c r="V55" s="29">
        <v>39.972999999999999</v>
      </c>
      <c r="W55" s="29">
        <v>40.120199999999997</v>
      </c>
      <c r="X55" s="29">
        <v>21.389299999999999</v>
      </c>
      <c r="Y55" s="3">
        <v>1.258</v>
      </c>
      <c r="Z55" s="44">
        <f t="shared" si="5"/>
        <v>1258</v>
      </c>
      <c r="AA55" s="3">
        <v>5.7</v>
      </c>
      <c r="AB55" s="3">
        <v>99</v>
      </c>
      <c r="AC55" s="32"/>
      <c r="AD55" s="5"/>
      <c r="AE55" s="39">
        <v>-3.2</v>
      </c>
      <c r="AF55" s="39">
        <v>35</v>
      </c>
      <c r="AG55" s="39">
        <v>16.413</v>
      </c>
      <c r="AH55" s="51">
        <v>0.46899999999999997</v>
      </c>
      <c r="AI55" s="53">
        <v>48.9</v>
      </c>
    </row>
    <row r="56" spans="1:35" x14ac:dyDescent="0.3">
      <c r="A56" s="19" t="s">
        <v>62</v>
      </c>
      <c r="B56" s="27"/>
      <c r="C56" s="59"/>
      <c r="D56" s="56">
        <v>0</v>
      </c>
      <c r="E56" s="27">
        <v>0</v>
      </c>
      <c r="F56" s="27">
        <v>0</v>
      </c>
      <c r="G56" s="27">
        <v>0</v>
      </c>
      <c r="H56" s="27">
        <v>0</v>
      </c>
      <c r="I56" s="27">
        <v>0</v>
      </c>
      <c r="J56" s="27">
        <v>0</v>
      </c>
      <c r="K56" s="27">
        <v>0</v>
      </c>
      <c r="L56" s="27">
        <v>0</v>
      </c>
      <c r="M56" s="27">
        <v>0</v>
      </c>
      <c r="N56" s="27">
        <v>0</v>
      </c>
      <c r="O56" s="27">
        <v>0</v>
      </c>
      <c r="P56" s="39"/>
      <c r="Q56" s="39"/>
      <c r="R56" s="20"/>
      <c r="S56" s="20"/>
      <c r="T56" s="21">
        <v>102.1</v>
      </c>
      <c r="U56" s="21">
        <v>16</v>
      </c>
      <c r="V56" s="22">
        <v>36.6691</v>
      </c>
      <c r="W56" s="22">
        <v>38.488799999999998</v>
      </c>
      <c r="X56" s="22">
        <v>20.002400000000002</v>
      </c>
      <c r="Y56" s="21">
        <v>0.99</v>
      </c>
      <c r="Z56" s="44">
        <f>Y56*1000</f>
        <v>990</v>
      </c>
      <c r="AA56" s="21">
        <v>5.4</v>
      </c>
      <c r="AB56" s="21">
        <v>90</v>
      </c>
      <c r="AC56" s="30"/>
      <c r="AD56" s="5"/>
      <c r="AE56" s="39"/>
      <c r="AF56" s="39">
        <v>31.09</v>
      </c>
      <c r="AG56" s="39">
        <v>15.648</v>
      </c>
      <c r="AH56" s="52">
        <v>0.503</v>
      </c>
      <c r="AI56" s="54">
        <v>50</v>
      </c>
    </row>
    <row r="57" spans="1:35" x14ac:dyDescent="0.3">
      <c r="A57" s="19" t="s">
        <v>87</v>
      </c>
      <c r="B57" s="27" t="str">
        <f t="shared" si="4"/>
        <v>ruim</v>
      </c>
      <c r="C57" s="59">
        <v>7</v>
      </c>
      <c r="D57" s="56">
        <v>0</v>
      </c>
      <c r="E57" s="27">
        <v>0</v>
      </c>
      <c r="F57" s="27">
        <v>1</v>
      </c>
      <c r="G57" s="27">
        <v>1</v>
      </c>
      <c r="H57" s="27">
        <v>1</v>
      </c>
      <c r="I57" s="27">
        <v>1</v>
      </c>
      <c r="J57" s="27">
        <v>1</v>
      </c>
      <c r="K57" s="27">
        <v>1</v>
      </c>
      <c r="L57" s="27">
        <v>0</v>
      </c>
      <c r="M57" s="27">
        <v>1</v>
      </c>
      <c r="N57" s="27">
        <v>1</v>
      </c>
      <c r="O57" s="27">
        <v>1</v>
      </c>
      <c r="P57" s="3">
        <v>34</v>
      </c>
      <c r="Q57" s="3">
        <v>48</v>
      </c>
      <c r="R57" s="20">
        <v>15</v>
      </c>
      <c r="S57" s="20">
        <v>13</v>
      </c>
      <c r="T57" s="24">
        <v>107.1</v>
      </c>
      <c r="U57" s="24">
        <v>20</v>
      </c>
      <c r="V57" s="25">
        <v>39.618000000000002</v>
      </c>
      <c r="W57" s="25">
        <v>35.112000000000002</v>
      </c>
      <c r="X57" s="25">
        <v>18.413</v>
      </c>
      <c r="Y57" s="24">
        <v>0.88500000000000001</v>
      </c>
      <c r="Z57" s="44">
        <f t="shared" si="5"/>
        <v>885</v>
      </c>
      <c r="AA57" s="26">
        <v>8.5</v>
      </c>
      <c r="AB57" s="26">
        <v>187</v>
      </c>
      <c r="AC57" s="26">
        <v>24.7</v>
      </c>
      <c r="AD57" s="5">
        <f t="shared" ref="AD57:AD70" si="6">AB57*AC57/405</f>
        <v>11.40469135802469</v>
      </c>
      <c r="AE57" s="39">
        <v>-9.1</v>
      </c>
      <c r="AF57" s="39">
        <v>33.4</v>
      </c>
      <c r="AG57" s="39">
        <v>15.423999999999999</v>
      </c>
      <c r="AH57" s="51">
        <v>0.43</v>
      </c>
      <c r="AI57" s="53">
        <v>45.9</v>
      </c>
    </row>
    <row r="58" spans="1:35" x14ac:dyDescent="0.3">
      <c r="A58" s="19" t="s">
        <v>56</v>
      </c>
      <c r="B58" s="56" t="str">
        <f t="shared" si="4"/>
        <v>bom</v>
      </c>
      <c r="C58" s="59">
        <v>5</v>
      </c>
      <c r="D58" s="27">
        <v>0</v>
      </c>
      <c r="E58" s="56">
        <v>0</v>
      </c>
      <c r="F58" s="56">
        <v>0</v>
      </c>
      <c r="G58" s="56">
        <v>0</v>
      </c>
      <c r="H58" s="56">
        <v>0</v>
      </c>
      <c r="I58" s="56">
        <v>0</v>
      </c>
      <c r="J58" s="56">
        <v>1</v>
      </c>
      <c r="K58" s="56">
        <v>0</v>
      </c>
      <c r="L58" s="56">
        <v>0</v>
      </c>
      <c r="M58" s="56">
        <v>0</v>
      </c>
      <c r="N58" s="56">
        <v>1</v>
      </c>
      <c r="O58" s="56">
        <v>0</v>
      </c>
      <c r="P58" s="3">
        <v>43</v>
      </c>
      <c r="Q58" s="3">
        <v>74</v>
      </c>
      <c r="R58" s="20">
        <v>6</v>
      </c>
      <c r="S58" s="20">
        <v>4</v>
      </c>
      <c r="T58" s="3">
        <v>94</v>
      </c>
      <c r="U58" s="3">
        <v>16</v>
      </c>
      <c r="V58" s="29">
        <v>31.317499999999999</v>
      </c>
      <c r="W58" s="29">
        <v>30.998699999999999</v>
      </c>
      <c r="X58" s="29">
        <v>13.5275</v>
      </c>
      <c r="Y58" s="3">
        <v>0.68</v>
      </c>
      <c r="Z58" s="44">
        <f t="shared" si="5"/>
        <v>680</v>
      </c>
      <c r="AA58" s="3">
        <v>5.6</v>
      </c>
      <c r="AB58" s="3">
        <v>89</v>
      </c>
      <c r="AC58" s="3">
        <v>4</v>
      </c>
      <c r="AD58" s="5">
        <f t="shared" si="6"/>
        <v>0.87901234567901232</v>
      </c>
      <c r="AE58" s="39">
        <v>-10.4</v>
      </c>
      <c r="AF58" s="39">
        <v>31.01</v>
      </c>
      <c r="AG58" s="39">
        <v>12.494999999999999</v>
      </c>
      <c r="AH58" s="51">
        <v>0.40300000000000002</v>
      </c>
      <c r="AI58" s="53">
        <v>48.4</v>
      </c>
    </row>
    <row r="59" spans="1:35" x14ac:dyDescent="0.3">
      <c r="A59" s="19" t="s">
        <v>88</v>
      </c>
      <c r="B59" s="27"/>
      <c r="C59" s="59"/>
      <c r="D59" s="27">
        <v>0</v>
      </c>
      <c r="E59" s="27">
        <v>0</v>
      </c>
      <c r="F59" s="27">
        <v>1</v>
      </c>
      <c r="G59" s="27">
        <v>0</v>
      </c>
      <c r="H59" s="27">
        <v>0</v>
      </c>
      <c r="I59" s="27">
        <v>0</v>
      </c>
      <c r="J59" s="27">
        <v>0</v>
      </c>
      <c r="K59" s="27">
        <v>1</v>
      </c>
      <c r="L59" s="27">
        <v>0</v>
      </c>
      <c r="M59" s="27">
        <v>0</v>
      </c>
      <c r="N59" s="27">
        <v>0</v>
      </c>
      <c r="O59" s="27">
        <v>0</v>
      </c>
      <c r="P59" s="3">
        <v>80</v>
      </c>
      <c r="Q59" s="3">
        <v>78</v>
      </c>
      <c r="R59" s="20">
        <v>2</v>
      </c>
      <c r="S59" s="20">
        <v>4</v>
      </c>
      <c r="T59" s="3">
        <v>99</v>
      </c>
      <c r="U59" s="3">
        <v>18</v>
      </c>
      <c r="V59" s="29">
        <v>35.982999999999997</v>
      </c>
      <c r="W59" s="29">
        <v>32.148800000000001</v>
      </c>
      <c r="X59" s="29">
        <v>15.5296</v>
      </c>
      <c r="Y59" s="3">
        <v>0.75</v>
      </c>
      <c r="Z59" s="44">
        <f t="shared" si="5"/>
        <v>750</v>
      </c>
      <c r="AA59" s="3">
        <v>5.8</v>
      </c>
      <c r="AB59" s="3">
        <v>98</v>
      </c>
      <c r="AC59" s="3">
        <v>7</v>
      </c>
      <c r="AD59" s="5">
        <f t="shared" si="6"/>
        <v>1.6938271604938271</v>
      </c>
      <c r="AE59" s="39">
        <v>-1</v>
      </c>
      <c r="AF59" s="39">
        <v>31.42</v>
      </c>
      <c r="AG59" s="39">
        <v>14.932</v>
      </c>
      <c r="AH59" s="51">
        <v>0.47499999999999998</v>
      </c>
      <c r="AI59" s="53">
        <v>45.7</v>
      </c>
    </row>
    <row r="60" spans="1:35" x14ac:dyDescent="0.3">
      <c r="A60" s="19" t="s">
        <v>16</v>
      </c>
      <c r="B60" s="27" t="str">
        <f t="shared" ref="B60:B72" si="7">IF(C60&gt;5,"ruim","bom")</f>
        <v>bom</v>
      </c>
      <c r="C60" s="59">
        <v>4</v>
      </c>
      <c r="D60" s="56">
        <v>0</v>
      </c>
      <c r="E60" s="27">
        <v>0</v>
      </c>
      <c r="F60" s="27">
        <v>1</v>
      </c>
      <c r="G60" s="27">
        <v>0</v>
      </c>
      <c r="H60" s="27">
        <v>1</v>
      </c>
      <c r="I60" s="27">
        <v>1</v>
      </c>
      <c r="J60" s="27">
        <v>0</v>
      </c>
      <c r="K60" s="27">
        <v>1</v>
      </c>
      <c r="L60" s="27">
        <v>0</v>
      </c>
      <c r="M60" s="27">
        <v>1</v>
      </c>
      <c r="N60" s="27">
        <v>0</v>
      </c>
      <c r="O60" s="27">
        <v>0</v>
      </c>
      <c r="P60" s="3">
        <v>75</v>
      </c>
      <c r="Q60" s="3">
        <v>77</v>
      </c>
      <c r="R60" s="20">
        <v>5</v>
      </c>
      <c r="S60" s="20">
        <v>4</v>
      </c>
      <c r="T60" s="24">
        <v>104.3</v>
      </c>
      <c r="U60" s="24">
        <v>22</v>
      </c>
      <c r="V60" s="25">
        <v>38.366</v>
      </c>
      <c r="W60" s="25">
        <v>40.869999999999997</v>
      </c>
      <c r="X60" s="25">
        <v>18.196000000000002</v>
      </c>
      <c r="Y60" s="24">
        <v>1.054</v>
      </c>
      <c r="Z60" s="44">
        <f t="shared" si="5"/>
        <v>1054</v>
      </c>
      <c r="AA60" s="26">
        <v>6.7</v>
      </c>
      <c r="AB60" s="26">
        <v>136</v>
      </c>
      <c r="AC60" s="26">
        <v>21.3</v>
      </c>
      <c r="AD60" s="5">
        <f t="shared" si="6"/>
        <v>7.1525925925925931</v>
      </c>
      <c r="AE60" s="39">
        <v>-1.5</v>
      </c>
      <c r="AF60" s="39">
        <v>37.4</v>
      </c>
      <c r="AG60" s="39">
        <v>17.329999999999998</v>
      </c>
      <c r="AH60" s="51">
        <v>0.46300000000000002</v>
      </c>
      <c r="AI60" s="53">
        <v>50.4</v>
      </c>
    </row>
    <row r="61" spans="1:35" x14ac:dyDescent="0.3">
      <c r="A61" s="19" t="s">
        <v>89</v>
      </c>
      <c r="B61" s="56" t="str">
        <f t="shared" si="7"/>
        <v>ruim</v>
      </c>
      <c r="C61" s="59">
        <v>9</v>
      </c>
      <c r="D61" s="27">
        <v>0</v>
      </c>
      <c r="E61" s="56">
        <v>1</v>
      </c>
      <c r="F61" s="56">
        <v>1</v>
      </c>
      <c r="G61" s="56">
        <v>1</v>
      </c>
      <c r="H61" s="56">
        <v>1</v>
      </c>
      <c r="I61" s="56">
        <v>0</v>
      </c>
      <c r="J61" s="56">
        <v>0</v>
      </c>
      <c r="K61" s="56">
        <v>1</v>
      </c>
      <c r="L61" s="56">
        <v>1</v>
      </c>
      <c r="M61" s="56">
        <v>0</v>
      </c>
      <c r="N61" s="56">
        <v>0</v>
      </c>
      <c r="O61" s="56">
        <v>1</v>
      </c>
      <c r="P61" s="3">
        <v>14</v>
      </c>
      <c r="Q61" s="3">
        <v>53</v>
      </c>
      <c r="R61" s="20">
        <v>5</v>
      </c>
      <c r="S61" s="20">
        <v>5</v>
      </c>
      <c r="T61" s="3">
        <v>128</v>
      </c>
      <c r="U61" s="3">
        <v>16</v>
      </c>
      <c r="V61" s="29">
        <v>52.457099999999997</v>
      </c>
      <c r="W61" s="29">
        <v>48.581000000000003</v>
      </c>
      <c r="X61" s="29">
        <v>29.408799999999999</v>
      </c>
      <c r="Y61" s="3">
        <v>1.645</v>
      </c>
      <c r="Z61" s="44">
        <f t="shared" si="5"/>
        <v>1645</v>
      </c>
      <c r="AA61" s="3">
        <v>5.8</v>
      </c>
      <c r="AB61" s="3">
        <v>110</v>
      </c>
      <c r="AC61" s="3">
        <v>20</v>
      </c>
      <c r="AD61" s="5">
        <f t="shared" si="6"/>
        <v>5.4320987654320989</v>
      </c>
      <c r="AE61" s="39">
        <v>-9.3000000000000007</v>
      </c>
      <c r="AF61" s="39">
        <v>39.840000000000003</v>
      </c>
      <c r="AG61" s="39">
        <v>20.745000000000001</v>
      </c>
      <c r="AH61" s="51">
        <v>0.52100000000000002</v>
      </c>
      <c r="AI61" s="53">
        <v>47</v>
      </c>
    </row>
    <row r="62" spans="1:35" x14ac:dyDescent="0.3">
      <c r="A62" s="19" t="s">
        <v>17</v>
      </c>
      <c r="B62" s="27" t="str">
        <f t="shared" si="7"/>
        <v>ruim</v>
      </c>
      <c r="C62" s="59">
        <v>7</v>
      </c>
      <c r="D62" s="27">
        <v>0</v>
      </c>
      <c r="E62" s="27">
        <v>0</v>
      </c>
      <c r="F62" s="27">
        <v>0</v>
      </c>
      <c r="G62" s="27">
        <v>0</v>
      </c>
      <c r="H62" s="27">
        <v>0</v>
      </c>
      <c r="I62" s="27">
        <v>0</v>
      </c>
      <c r="J62" s="27">
        <v>1</v>
      </c>
      <c r="K62" s="27">
        <v>0</v>
      </c>
      <c r="L62" s="27">
        <v>0</v>
      </c>
      <c r="M62" s="27">
        <v>0</v>
      </c>
      <c r="N62" s="27">
        <v>1</v>
      </c>
      <c r="O62" s="27">
        <v>0</v>
      </c>
      <c r="P62" s="3">
        <v>73</v>
      </c>
      <c r="Q62" s="3">
        <v>81</v>
      </c>
      <c r="R62" s="20">
        <v>0</v>
      </c>
      <c r="S62" s="20">
        <v>3</v>
      </c>
      <c r="T62" s="3">
        <v>112</v>
      </c>
      <c r="U62" s="3">
        <v>22</v>
      </c>
      <c r="V62" s="29">
        <v>39.473999999999997</v>
      </c>
      <c r="W62" s="29">
        <v>42.535899999999998</v>
      </c>
      <c r="X62" s="29">
        <v>21.549099999999999</v>
      </c>
      <c r="Y62" s="3">
        <v>1.1619999999999999</v>
      </c>
      <c r="Z62" s="44">
        <f t="shared" si="5"/>
        <v>1162</v>
      </c>
      <c r="AA62" s="3">
        <v>5.6</v>
      </c>
      <c r="AB62" s="3">
        <v>104</v>
      </c>
      <c r="AC62" s="3">
        <v>20.399999999999999</v>
      </c>
      <c r="AD62" s="5">
        <f t="shared" si="6"/>
        <v>5.2385185185185179</v>
      </c>
      <c r="AE62" s="39">
        <v>-0.4</v>
      </c>
      <c r="AF62" s="39">
        <v>39.799999999999997</v>
      </c>
      <c r="AG62" s="39">
        <v>17.27</v>
      </c>
      <c r="AH62" s="51">
        <v>0.434</v>
      </c>
      <c r="AI62" s="53">
        <v>50.8</v>
      </c>
    </row>
    <row r="63" spans="1:35" x14ac:dyDescent="0.3">
      <c r="A63" s="19" t="s">
        <v>57</v>
      </c>
      <c r="B63" s="27" t="str">
        <f t="shared" si="7"/>
        <v>ruim</v>
      </c>
      <c r="C63" s="59">
        <v>10</v>
      </c>
      <c r="D63" s="56">
        <v>0</v>
      </c>
      <c r="E63" s="27">
        <v>0</v>
      </c>
      <c r="F63" s="27">
        <v>1</v>
      </c>
      <c r="G63" s="27">
        <v>1</v>
      </c>
      <c r="H63" s="27">
        <v>1</v>
      </c>
      <c r="I63" s="27">
        <v>0</v>
      </c>
      <c r="J63" s="27">
        <v>0</v>
      </c>
      <c r="K63" s="27">
        <v>1</v>
      </c>
      <c r="L63" s="27">
        <v>0</v>
      </c>
      <c r="M63" s="27">
        <v>0</v>
      </c>
      <c r="N63" s="27">
        <v>0</v>
      </c>
      <c r="O63" s="27">
        <v>1</v>
      </c>
      <c r="P63" s="3">
        <v>26</v>
      </c>
      <c r="Q63" s="3">
        <v>25</v>
      </c>
      <c r="R63" s="20">
        <v>17</v>
      </c>
      <c r="S63" s="20">
        <v>10</v>
      </c>
      <c r="T63" s="3">
        <v>114.5</v>
      </c>
      <c r="U63" s="3">
        <v>14</v>
      </c>
      <c r="V63" s="29">
        <v>41.213299999999997</v>
      </c>
      <c r="W63" s="29">
        <v>47.385899999999999</v>
      </c>
      <c r="X63" s="29">
        <v>24.3658</v>
      </c>
      <c r="Y63" s="3">
        <v>1.367</v>
      </c>
      <c r="Z63" s="44">
        <f t="shared" si="5"/>
        <v>1367</v>
      </c>
      <c r="AA63" s="3">
        <v>5.2</v>
      </c>
      <c r="AB63" s="3">
        <v>96</v>
      </c>
      <c r="AC63" s="3">
        <v>12</v>
      </c>
      <c r="AD63" s="5">
        <f t="shared" si="6"/>
        <v>2.8444444444444446</v>
      </c>
      <c r="AE63" s="39">
        <v>-7.7</v>
      </c>
      <c r="AF63" s="39">
        <v>37.69</v>
      </c>
      <c r="AG63" s="39">
        <v>17.402000000000001</v>
      </c>
      <c r="AH63" s="51">
        <v>0.46200000000000002</v>
      </c>
      <c r="AI63" s="53">
        <v>52.4</v>
      </c>
    </row>
    <row r="64" spans="1:35" x14ac:dyDescent="0.3">
      <c r="A64" s="19" t="s">
        <v>18</v>
      </c>
      <c r="B64" s="56" t="str">
        <f t="shared" si="7"/>
        <v>bom</v>
      </c>
      <c r="C64" s="59">
        <v>4</v>
      </c>
      <c r="D64" s="56">
        <v>0</v>
      </c>
      <c r="E64" s="56">
        <v>0</v>
      </c>
      <c r="F64" s="56">
        <v>0</v>
      </c>
      <c r="G64" s="56">
        <v>0</v>
      </c>
      <c r="H64" s="56">
        <v>0</v>
      </c>
      <c r="I64" s="56">
        <v>0</v>
      </c>
      <c r="J64" s="56">
        <v>1</v>
      </c>
      <c r="K64" s="56">
        <v>0</v>
      </c>
      <c r="L64" s="56">
        <v>0</v>
      </c>
      <c r="M64" s="56">
        <v>0</v>
      </c>
      <c r="N64" s="56">
        <v>0</v>
      </c>
      <c r="O64" s="56">
        <v>0</v>
      </c>
      <c r="P64" s="3">
        <v>57</v>
      </c>
      <c r="Q64" s="3">
        <v>58</v>
      </c>
      <c r="R64" s="20">
        <v>13</v>
      </c>
      <c r="S64" s="20">
        <v>3</v>
      </c>
      <c r="T64" s="3">
        <v>92.5</v>
      </c>
      <c r="U64" s="5">
        <v>16</v>
      </c>
      <c r="V64" s="29">
        <v>31.432300000000001</v>
      </c>
      <c r="W64" s="29">
        <v>36.496000000000002</v>
      </c>
      <c r="X64" s="29">
        <v>17.233000000000001</v>
      </c>
      <c r="Y64" s="3">
        <v>0.63800000000000001</v>
      </c>
      <c r="Z64" s="44">
        <f t="shared" si="5"/>
        <v>638</v>
      </c>
      <c r="AA64" s="3">
        <v>5.2</v>
      </c>
      <c r="AB64" s="3">
        <v>83</v>
      </c>
      <c r="AC64" s="3">
        <v>10.199999999999999</v>
      </c>
      <c r="AD64" s="5">
        <f t="shared" si="6"/>
        <v>2.09037037037037</v>
      </c>
      <c r="AE64" s="39">
        <v>-3.8</v>
      </c>
      <c r="AF64" s="39">
        <v>32.299999999999997</v>
      </c>
      <c r="AG64" s="39">
        <v>13.007999999999999</v>
      </c>
      <c r="AH64" s="51">
        <v>0.40300000000000002</v>
      </c>
      <c r="AI64" s="53">
        <v>51.6</v>
      </c>
    </row>
    <row r="65" spans="1:35" x14ac:dyDescent="0.3">
      <c r="A65" s="19" t="s">
        <v>58</v>
      </c>
      <c r="B65" s="27" t="str">
        <f t="shared" si="7"/>
        <v>ruim</v>
      </c>
      <c r="C65" s="59">
        <v>6</v>
      </c>
      <c r="D65" s="27">
        <v>0</v>
      </c>
      <c r="E65" s="27">
        <v>0</v>
      </c>
      <c r="F65" s="27">
        <v>1</v>
      </c>
      <c r="G65" s="27">
        <v>0</v>
      </c>
      <c r="H65" s="27">
        <v>0</v>
      </c>
      <c r="I65" s="27">
        <v>0</v>
      </c>
      <c r="J65" s="27">
        <v>0</v>
      </c>
      <c r="K65" s="27">
        <v>1</v>
      </c>
      <c r="L65" s="27">
        <v>0</v>
      </c>
      <c r="M65" s="27">
        <v>0</v>
      </c>
      <c r="N65" s="27">
        <v>0</v>
      </c>
      <c r="O65" s="27">
        <v>0</v>
      </c>
      <c r="P65" s="3">
        <v>82</v>
      </c>
      <c r="Q65" s="3">
        <v>80</v>
      </c>
      <c r="R65" s="20">
        <v>6</v>
      </c>
      <c r="S65" s="20">
        <v>2</v>
      </c>
      <c r="T65" s="27">
        <v>110.9</v>
      </c>
      <c r="U65" s="24">
        <v>19</v>
      </c>
      <c r="V65" s="28">
        <v>40.853999999999999</v>
      </c>
      <c r="W65" s="28">
        <v>49.122999999999998</v>
      </c>
      <c r="X65" s="28">
        <v>23.591999999999999</v>
      </c>
      <c r="Y65" s="27">
        <v>0.88300000000000001</v>
      </c>
      <c r="Z65" s="44">
        <f t="shared" si="5"/>
        <v>883</v>
      </c>
      <c r="AA65" s="3">
        <v>5.0999999999999996</v>
      </c>
      <c r="AB65" s="3">
        <v>86</v>
      </c>
      <c r="AC65" s="3">
        <v>11.3</v>
      </c>
      <c r="AD65" s="5">
        <f t="shared" si="6"/>
        <v>2.3995061728395064</v>
      </c>
      <c r="AE65" s="39">
        <v>-1.2</v>
      </c>
      <c r="AF65" s="39">
        <v>35.299999999999997</v>
      </c>
      <c r="AG65" s="39">
        <v>17.736000000000001</v>
      </c>
      <c r="AH65" s="51">
        <v>0.502</v>
      </c>
      <c r="AI65" s="53">
        <v>53.1</v>
      </c>
    </row>
    <row r="66" spans="1:35" x14ac:dyDescent="0.3">
      <c r="A66" s="19" t="s">
        <v>19</v>
      </c>
      <c r="B66" s="27" t="str">
        <f t="shared" si="7"/>
        <v>ruim</v>
      </c>
      <c r="C66" s="59">
        <v>9</v>
      </c>
      <c r="D66" s="27">
        <v>0</v>
      </c>
      <c r="E66" s="27">
        <v>0</v>
      </c>
      <c r="F66" s="27">
        <v>0</v>
      </c>
      <c r="G66" s="27">
        <v>0</v>
      </c>
      <c r="H66" s="27">
        <v>1</v>
      </c>
      <c r="I66" s="27">
        <v>0</v>
      </c>
      <c r="J66" s="27">
        <v>1</v>
      </c>
      <c r="K66" s="27">
        <v>0</v>
      </c>
      <c r="L66" s="27">
        <v>0</v>
      </c>
      <c r="M66" s="27">
        <v>0</v>
      </c>
      <c r="N66" s="27">
        <v>0</v>
      </c>
      <c r="O66" s="27">
        <v>0</v>
      </c>
      <c r="P66" s="3">
        <v>59</v>
      </c>
      <c r="Q66" s="3">
        <v>80</v>
      </c>
      <c r="R66" s="20">
        <v>10</v>
      </c>
      <c r="S66" s="20">
        <v>3</v>
      </c>
      <c r="T66" s="3">
        <v>107.8</v>
      </c>
      <c r="U66" s="3">
        <v>17</v>
      </c>
      <c r="V66" s="29">
        <v>37.64</v>
      </c>
      <c r="W66" s="29">
        <v>38.984999999999999</v>
      </c>
      <c r="X66" s="29">
        <v>18.135999999999999</v>
      </c>
      <c r="Y66" s="3">
        <v>0.88300000000000001</v>
      </c>
      <c r="Z66" s="44">
        <f t="shared" si="5"/>
        <v>883</v>
      </c>
      <c r="AA66" s="3">
        <v>6.5</v>
      </c>
      <c r="AB66" s="3">
        <v>123</v>
      </c>
      <c r="AC66" s="3">
        <v>8.1999999999999993</v>
      </c>
      <c r="AD66" s="5">
        <f t="shared" si="6"/>
        <v>2.4903703703703703</v>
      </c>
      <c r="AE66" s="39">
        <v>1.4</v>
      </c>
      <c r="AF66" s="39">
        <v>33.299999999999997</v>
      </c>
      <c r="AG66" s="39">
        <v>16.02</v>
      </c>
      <c r="AH66" s="51">
        <v>0.48099999999999998</v>
      </c>
      <c r="AI66" s="53">
        <v>49.8</v>
      </c>
    </row>
    <row r="67" spans="1:35" x14ac:dyDescent="0.3">
      <c r="A67" s="19" t="s">
        <v>20</v>
      </c>
      <c r="B67" s="56" t="str">
        <f t="shared" si="7"/>
        <v>bom</v>
      </c>
      <c r="C67" s="59">
        <v>3</v>
      </c>
      <c r="D67" s="56">
        <v>0</v>
      </c>
      <c r="E67" s="56">
        <v>0</v>
      </c>
      <c r="F67" s="56">
        <v>1</v>
      </c>
      <c r="G67" s="56">
        <v>0</v>
      </c>
      <c r="H67" s="56">
        <v>1</v>
      </c>
      <c r="I67" s="56">
        <v>0</v>
      </c>
      <c r="J67" s="56">
        <v>0</v>
      </c>
      <c r="K67" s="56">
        <v>1</v>
      </c>
      <c r="L67" s="56">
        <v>0</v>
      </c>
      <c r="M67" s="56">
        <v>0</v>
      </c>
      <c r="N67" s="56">
        <v>0</v>
      </c>
      <c r="O67" s="56">
        <v>0</v>
      </c>
      <c r="P67" s="3">
        <v>72</v>
      </c>
      <c r="Q67" s="3">
        <v>95</v>
      </c>
      <c r="R67" s="20">
        <v>8</v>
      </c>
      <c r="S67" s="20">
        <v>3</v>
      </c>
      <c r="T67" s="3">
        <v>102</v>
      </c>
      <c r="U67" s="3">
        <v>17</v>
      </c>
      <c r="V67" s="29">
        <v>38.719000000000001</v>
      </c>
      <c r="W67" s="3">
        <v>34.546199999999999</v>
      </c>
      <c r="X67" s="29">
        <v>17.341000000000001</v>
      </c>
      <c r="Y67" s="3">
        <v>0.85199999999999998</v>
      </c>
      <c r="Z67" s="44">
        <f t="shared" ref="Z67:Z97" si="8">Y67*1000</f>
        <v>852</v>
      </c>
      <c r="AA67" s="3">
        <v>4.9000000000000004</v>
      </c>
      <c r="AB67" s="3">
        <v>85</v>
      </c>
      <c r="AC67" s="3">
        <v>10.7</v>
      </c>
      <c r="AD67" s="5">
        <f t="shared" si="6"/>
        <v>2.2456790123456787</v>
      </c>
      <c r="AE67" s="39">
        <v>0.5</v>
      </c>
      <c r="AF67" s="39">
        <v>30.3</v>
      </c>
      <c r="AG67" s="39">
        <v>16.347999999999999</v>
      </c>
      <c r="AH67" s="51">
        <v>0.54</v>
      </c>
      <c r="AI67" s="53">
        <v>45.7</v>
      </c>
    </row>
    <row r="68" spans="1:35" x14ac:dyDescent="0.3">
      <c r="A68" s="19" t="s">
        <v>90</v>
      </c>
      <c r="B68" s="27" t="str">
        <f t="shared" si="7"/>
        <v>ruim</v>
      </c>
      <c r="C68" s="59">
        <v>16</v>
      </c>
      <c r="D68" s="27">
        <v>0</v>
      </c>
      <c r="E68" s="27">
        <v>1</v>
      </c>
      <c r="F68" s="27">
        <v>1</v>
      </c>
      <c r="G68" s="27">
        <v>1</v>
      </c>
      <c r="H68" s="27">
        <v>0</v>
      </c>
      <c r="I68" s="27">
        <v>1</v>
      </c>
      <c r="J68" s="27">
        <v>1</v>
      </c>
      <c r="K68" s="27">
        <v>1</v>
      </c>
      <c r="L68" s="27">
        <v>1</v>
      </c>
      <c r="M68" s="27">
        <v>1</v>
      </c>
      <c r="N68" s="27">
        <v>1</v>
      </c>
      <c r="O68" s="27">
        <v>1</v>
      </c>
      <c r="P68" s="3">
        <v>8</v>
      </c>
      <c r="Q68" s="3">
        <v>0</v>
      </c>
      <c r="R68" s="20">
        <v>20</v>
      </c>
      <c r="S68" s="20">
        <v>14</v>
      </c>
      <c r="T68" s="34">
        <v>110.7</v>
      </c>
      <c r="U68" s="34">
        <v>18</v>
      </c>
      <c r="V68" s="23"/>
      <c r="W68" s="35">
        <v>48.005099999999999</v>
      </c>
      <c r="X68" s="35">
        <v>24.137699999999999</v>
      </c>
      <c r="Y68" s="34">
        <v>1.306</v>
      </c>
      <c r="Z68" s="44">
        <f t="shared" si="8"/>
        <v>1306</v>
      </c>
      <c r="AA68" s="21">
        <v>6.2</v>
      </c>
      <c r="AB68" s="21">
        <v>108</v>
      </c>
      <c r="AC68" s="21">
        <v>23.7</v>
      </c>
      <c r="AD68" s="5">
        <f t="shared" si="6"/>
        <v>6.3199999999999994</v>
      </c>
      <c r="AE68" s="39"/>
      <c r="AF68" s="39">
        <v>38.299999999999997</v>
      </c>
      <c r="AG68" s="39">
        <v>18.71</v>
      </c>
      <c r="AH68" s="51">
        <v>0.48799999999999999</v>
      </c>
      <c r="AI68" s="53">
        <v>53</v>
      </c>
    </row>
    <row r="69" spans="1:35" x14ac:dyDescent="0.3">
      <c r="A69" s="19" t="s">
        <v>59</v>
      </c>
      <c r="B69" s="27" t="str">
        <f t="shared" si="7"/>
        <v>ruim</v>
      </c>
      <c r="C69" s="59">
        <v>9</v>
      </c>
      <c r="D69" s="27">
        <v>0</v>
      </c>
      <c r="E69" s="27">
        <v>1</v>
      </c>
      <c r="F69" s="27">
        <v>1</v>
      </c>
      <c r="G69" s="27">
        <v>0</v>
      </c>
      <c r="H69" s="27">
        <v>0</v>
      </c>
      <c r="I69" s="27">
        <v>0</v>
      </c>
      <c r="J69" s="27">
        <v>0</v>
      </c>
      <c r="K69" s="27">
        <v>1</v>
      </c>
      <c r="L69" s="27">
        <v>1</v>
      </c>
      <c r="M69" s="27">
        <v>0</v>
      </c>
      <c r="N69" s="27">
        <v>0</v>
      </c>
      <c r="O69" s="27">
        <v>0</v>
      </c>
      <c r="P69" s="3">
        <v>38</v>
      </c>
      <c r="Q69" s="3">
        <v>63</v>
      </c>
      <c r="R69" s="20">
        <v>13</v>
      </c>
      <c r="S69" s="20">
        <v>9</v>
      </c>
      <c r="T69" s="3">
        <v>110</v>
      </c>
      <c r="U69" s="5">
        <v>16</v>
      </c>
      <c r="V69" s="29">
        <v>41.776000000000003</v>
      </c>
      <c r="W69" s="29">
        <v>40.131999999999998</v>
      </c>
      <c r="X69" s="29">
        <v>18.305</v>
      </c>
      <c r="Y69" s="3">
        <v>1.056</v>
      </c>
      <c r="Z69" s="44">
        <f t="shared" si="8"/>
        <v>1056</v>
      </c>
      <c r="AA69" s="3">
        <v>8.1</v>
      </c>
      <c r="AB69" s="3">
        <v>127</v>
      </c>
      <c r="AC69" s="3">
        <v>7.5</v>
      </c>
      <c r="AD69" s="5">
        <f t="shared" si="6"/>
        <v>2.3518518518518516</v>
      </c>
      <c r="AE69" s="39">
        <v>-1</v>
      </c>
      <c r="AF69" s="39">
        <v>36.4</v>
      </c>
      <c r="AG69" s="39">
        <v>17.100000000000001</v>
      </c>
      <c r="AH69" s="51">
        <v>0.47</v>
      </c>
      <c r="AI69" s="53">
        <v>47.7</v>
      </c>
    </row>
    <row r="70" spans="1:35" x14ac:dyDescent="0.3">
      <c r="A70" s="19" t="s">
        <v>60</v>
      </c>
      <c r="B70" s="56" t="str">
        <f t="shared" si="7"/>
        <v>ruim</v>
      </c>
      <c r="C70" s="59">
        <v>9</v>
      </c>
      <c r="D70" s="56">
        <v>0</v>
      </c>
      <c r="E70" s="56">
        <v>1</v>
      </c>
      <c r="F70" s="56">
        <v>1</v>
      </c>
      <c r="G70" s="56">
        <v>0</v>
      </c>
      <c r="H70" s="56">
        <v>0</v>
      </c>
      <c r="I70" s="56">
        <v>1</v>
      </c>
      <c r="J70" s="56">
        <v>1</v>
      </c>
      <c r="K70" s="56">
        <v>1</v>
      </c>
      <c r="L70" s="56">
        <v>1</v>
      </c>
      <c r="M70" s="56">
        <v>1</v>
      </c>
      <c r="N70" s="56">
        <v>0</v>
      </c>
      <c r="O70" s="56">
        <v>0</v>
      </c>
      <c r="P70" s="3">
        <v>20</v>
      </c>
      <c r="Q70" s="3">
        <v>31</v>
      </c>
      <c r="R70" s="20">
        <v>16</v>
      </c>
      <c r="S70" s="20">
        <v>8</v>
      </c>
      <c r="T70" s="3">
        <v>115</v>
      </c>
      <c r="U70" s="3">
        <v>16</v>
      </c>
      <c r="V70" s="29">
        <v>45.585999999999999</v>
      </c>
      <c r="W70" s="29">
        <v>48.887900000000002</v>
      </c>
      <c r="X70" s="29">
        <v>25.6479</v>
      </c>
      <c r="Y70" s="3">
        <v>1.613</v>
      </c>
      <c r="Z70" s="44">
        <f t="shared" si="8"/>
        <v>1613</v>
      </c>
      <c r="AA70" s="3">
        <v>7.5</v>
      </c>
      <c r="AB70" s="3">
        <v>140</v>
      </c>
      <c r="AC70" s="3">
        <v>20</v>
      </c>
      <c r="AD70" s="5">
        <f t="shared" si="6"/>
        <v>6.9135802469135799</v>
      </c>
      <c r="AE70" s="39">
        <v>-10.1</v>
      </c>
      <c r="AF70" s="39">
        <v>41.1</v>
      </c>
      <c r="AG70" s="39">
        <v>19.940999999999999</v>
      </c>
      <c r="AH70" s="51">
        <v>0.48499999999999999</v>
      </c>
      <c r="AI70" s="53">
        <v>50.7</v>
      </c>
    </row>
    <row r="71" spans="1:35" x14ac:dyDescent="0.3">
      <c r="A71" s="19" t="s">
        <v>61</v>
      </c>
      <c r="B71" s="27" t="str">
        <f t="shared" si="7"/>
        <v>ruim</v>
      </c>
      <c r="C71" s="59">
        <v>8</v>
      </c>
      <c r="D71" s="56">
        <v>0</v>
      </c>
      <c r="E71" s="27">
        <v>1</v>
      </c>
      <c r="F71" s="27">
        <v>1</v>
      </c>
      <c r="G71" s="27">
        <v>0</v>
      </c>
      <c r="H71" s="27">
        <v>0</v>
      </c>
      <c r="I71" s="27">
        <v>1</v>
      </c>
      <c r="J71" s="27">
        <v>0</v>
      </c>
      <c r="K71" s="27">
        <v>1</v>
      </c>
      <c r="L71" s="27">
        <v>1</v>
      </c>
      <c r="M71" s="27">
        <v>1</v>
      </c>
      <c r="N71" s="27">
        <v>0</v>
      </c>
      <c r="O71" s="27">
        <v>0</v>
      </c>
      <c r="P71" s="3">
        <v>3</v>
      </c>
      <c r="Q71" s="3">
        <v>25</v>
      </c>
      <c r="R71" s="20">
        <v>6</v>
      </c>
      <c r="S71" s="20">
        <v>4</v>
      </c>
      <c r="T71" s="24">
        <v>116</v>
      </c>
      <c r="U71" s="24">
        <v>14</v>
      </c>
      <c r="V71" s="25">
        <v>38.67</v>
      </c>
      <c r="W71" s="25">
        <v>44.927300000000002</v>
      </c>
      <c r="X71" s="25">
        <v>22.706299999999999</v>
      </c>
      <c r="Y71" s="24">
        <v>1.075</v>
      </c>
      <c r="Z71" s="44">
        <f t="shared" si="8"/>
        <v>1075</v>
      </c>
      <c r="AA71" s="26">
        <v>10.199999999999999</v>
      </c>
      <c r="AB71" s="26">
        <v>209</v>
      </c>
      <c r="AC71" s="32"/>
      <c r="AD71" s="5"/>
      <c r="AE71" s="39">
        <v>-2.7</v>
      </c>
      <c r="AF71" s="39">
        <v>42.4</v>
      </c>
      <c r="AG71" s="39">
        <v>14.794</v>
      </c>
      <c r="AH71" s="51">
        <v>0.34899999999999998</v>
      </c>
      <c r="AI71" s="53">
        <v>52.7</v>
      </c>
    </row>
    <row r="72" spans="1:35" x14ac:dyDescent="0.3">
      <c r="A72" s="19" t="s">
        <v>21</v>
      </c>
      <c r="B72" s="27" t="str">
        <f t="shared" si="7"/>
        <v>bom</v>
      </c>
      <c r="C72" s="59">
        <v>4</v>
      </c>
      <c r="D72" s="27">
        <v>0</v>
      </c>
      <c r="E72" s="27">
        <v>0</v>
      </c>
      <c r="F72" s="27">
        <v>1</v>
      </c>
      <c r="G72" s="27">
        <v>0</v>
      </c>
      <c r="H72" s="27">
        <v>0</v>
      </c>
      <c r="I72" s="27">
        <v>1</v>
      </c>
      <c r="J72" s="27">
        <v>1</v>
      </c>
      <c r="K72" s="27">
        <v>1</v>
      </c>
      <c r="L72" s="27">
        <v>0</v>
      </c>
      <c r="M72" s="27">
        <v>1</v>
      </c>
      <c r="N72" s="27">
        <v>1</v>
      </c>
      <c r="O72" s="27">
        <v>0</v>
      </c>
      <c r="P72" s="3">
        <v>96</v>
      </c>
      <c r="Q72" s="3">
        <v>69</v>
      </c>
      <c r="R72" s="20">
        <v>1</v>
      </c>
      <c r="S72" s="20">
        <v>0</v>
      </c>
      <c r="T72" s="3">
        <v>102.5</v>
      </c>
      <c r="U72" s="5">
        <v>16</v>
      </c>
      <c r="V72" s="29">
        <v>36.452199999999998</v>
      </c>
      <c r="W72" s="29">
        <v>37.948</v>
      </c>
      <c r="X72" s="29">
        <v>19.634</v>
      </c>
      <c r="Y72" s="3">
        <v>1.0660000000000001</v>
      </c>
      <c r="Z72" s="44">
        <f t="shared" si="8"/>
        <v>1066</v>
      </c>
      <c r="AA72" s="3">
        <v>5.6</v>
      </c>
      <c r="AB72" s="3">
        <v>92</v>
      </c>
      <c r="AC72" s="3">
        <v>11.6</v>
      </c>
      <c r="AD72" s="5">
        <f>AB72*AC72/405</f>
        <v>2.6350617283950619</v>
      </c>
      <c r="AE72" s="39">
        <v>-0.8</v>
      </c>
      <c r="AF72" s="39">
        <v>30.5</v>
      </c>
      <c r="AG72" s="39">
        <v>15.391</v>
      </c>
      <c r="AH72" s="51">
        <v>0.505</v>
      </c>
      <c r="AI72" s="53">
        <v>49.7</v>
      </c>
    </row>
    <row r="73" spans="1:35" x14ac:dyDescent="0.3">
      <c r="A73" s="19" t="s">
        <v>91</v>
      </c>
      <c r="B73" s="56" t="str">
        <f t="shared" ref="B73:B106" si="9">IF(C73&gt;5,"ruim","bom")</f>
        <v>ruim</v>
      </c>
      <c r="C73" s="59">
        <v>7</v>
      </c>
      <c r="D73" s="27">
        <v>0</v>
      </c>
      <c r="E73" s="56">
        <v>0</v>
      </c>
      <c r="F73" s="56">
        <v>1</v>
      </c>
      <c r="G73" s="56">
        <v>0</v>
      </c>
      <c r="H73" s="56">
        <v>0</v>
      </c>
      <c r="I73" s="56">
        <v>0</v>
      </c>
      <c r="J73" s="56">
        <v>1</v>
      </c>
      <c r="K73" s="56">
        <v>1</v>
      </c>
      <c r="L73" s="56">
        <v>0</v>
      </c>
      <c r="M73" s="56">
        <v>0</v>
      </c>
      <c r="N73" s="56">
        <v>1</v>
      </c>
      <c r="O73" s="56">
        <v>0</v>
      </c>
      <c r="P73" s="3">
        <v>41</v>
      </c>
      <c r="Q73" s="3">
        <v>62</v>
      </c>
      <c r="R73" s="20">
        <v>7</v>
      </c>
      <c r="S73" s="20">
        <v>3</v>
      </c>
      <c r="T73" s="3">
        <v>105.7</v>
      </c>
      <c r="U73" s="3">
        <v>19</v>
      </c>
      <c r="V73" s="29">
        <v>37.465000000000003</v>
      </c>
      <c r="W73" s="29">
        <v>45.506500000000003</v>
      </c>
      <c r="X73" s="29">
        <v>19.202999999999999</v>
      </c>
      <c r="Y73" s="3">
        <v>1.361</v>
      </c>
      <c r="Z73" s="44">
        <f t="shared" si="8"/>
        <v>1361</v>
      </c>
      <c r="AA73" s="3">
        <v>6</v>
      </c>
      <c r="AB73" s="3">
        <v>119</v>
      </c>
      <c r="AC73" s="3">
        <v>20.399999999999999</v>
      </c>
      <c r="AD73" s="5">
        <f t="shared" ref="AD73:AD80" si="10">AB73*AC73/405</f>
        <v>5.9940740740740734</v>
      </c>
      <c r="AE73" s="39">
        <v>-1.2</v>
      </c>
      <c r="AF73" s="39">
        <v>38</v>
      </c>
      <c r="AG73" s="39">
        <v>15.273999999999999</v>
      </c>
      <c r="AH73" s="51">
        <v>0.40200000000000002</v>
      </c>
      <c r="AI73" s="53">
        <v>53.5</v>
      </c>
    </row>
    <row r="74" spans="1:35" x14ac:dyDescent="0.3">
      <c r="A74" s="19" t="s">
        <v>92</v>
      </c>
      <c r="B74" s="27" t="str">
        <f t="shared" si="9"/>
        <v>ruim</v>
      </c>
      <c r="C74" s="59">
        <v>6</v>
      </c>
      <c r="D74" s="56">
        <v>0</v>
      </c>
      <c r="E74" s="27">
        <v>0</v>
      </c>
      <c r="F74" s="27">
        <v>0</v>
      </c>
      <c r="G74" s="27">
        <v>0</v>
      </c>
      <c r="H74" s="27">
        <v>0</v>
      </c>
      <c r="I74" s="27">
        <v>0</v>
      </c>
      <c r="J74" s="27">
        <v>1</v>
      </c>
      <c r="K74" s="27">
        <v>0</v>
      </c>
      <c r="L74" s="27">
        <v>0</v>
      </c>
      <c r="M74" s="27">
        <v>0</v>
      </c>
      <c r="N74" s="27">
        <v>0</v>
      </c>
      <c r="O74" s="27">
        <v>0</v>
      </c>
      <c r="P74" s="3">
        <v>82</v>
      </c>
      <c r="Q74" s="3">
        <v>88</v>
      </c>
      <c r="R74" s="20">
        <v>9</v>
      </c>
      <c r="S74" s="20">
        <v>1</v>
      </c>
      <c r="T74" s="3">
        <v>111.7</v>
      </c>
      <c r="U74" s="3">
        <v>16</v>
      </c>
      <c r="V74" s="29">
        <v>41.795400000000001</v>
      </c>
      <c r="W74" s="29">
        <v>43.216900000000003</v>
      </c>
      <c r="X74" s="29">
        <v>23.17</v>
      </c>
      <c r="Y74" s="3">
        <v>1.573</v>
      </c>
      <c r="Z74" s="44">
        <f t="shared" si="8"/>
        <v>1573</v>
      </c>
      <c r="AA74" s="3">
        <v>5.7</v>
      </c>
      <c r="AB74" s="3">
        <v>85</v>
      </c>
      <c r="AC74" s="3">
        <v>6</v>
      </c>
      <c r="AD74" s="5">
        <f t="shared" si="10"/>
        <v>1.2592592592592593</v>
      </c>
      <c r="AE74" s="39">
        <v>-2.4</v>
      </c>
      <c r="AF74" s="39">
        <v>34.69</v>
      </c>
      <c r="AG74" s="39">
        <v>17.72</v>
      </c>
      <c r="AH74" s="51">
        <v>0.51100000000000001</v>
      </c>
      <c r="AI74" s="53">
        <v>49.7</v>
      </c>
    </row>
    <row r="75" spans="1:35" x14ac:dyDescent="0.3">
      <c r="A75" s="19" t="s">
        <v>63</v>
      </c>
      <c r="B75" s="27" t="str">
        <f t="shared" si="9"/>
        <v>bom</v>
      </c>
      <c r="C75" s="59">
        <v>5</v>
      </c>
      <c r="D75" s="27">
        <v>0</v>
      </c>
      <c r="E75" s="27">
        <v>1</v>
      </c>
      <c r="F75" s="27">
        <v>1</v>
      </c>
      <c r="G75" s="27">
        <v>0</v>
      </c>
      <c r="H75" s="27">
        <v>0</v>
      </c>
      <c r="I75" s="27">
        <v>1</v>
      </c>
      <c r="J75" s="27">
        <v>1</v>
      </c>
      <c r="K75" s="27">
        <v>1</v>
      </c>
      <c r="L75" s="27">
        <v>1</v>
      </c>
      <c r="M75" s="27">
        <v>1</v>
      </c>
      <c r="N75" s="27">
        <v>1</v>
      </c>
      <c r="O75" s="27">
        <v>0</v>
      </c>
      <c r="P75" s="3">
        <v>30</v>
      </c>
      <c r="Q75" s="3">
        <v>80</v>
      </c>
      <c r="R75" s="20">
        <v>8</v>
      </c>
      <c r="S75" s="20">
        <v>5</v>
      </c>
      <c r="T75" s="3">
        <v>98</v>
      </c>
      <c r="U75" s="5">
        <v>6</v>
      </c>
      <c r="V75" s="29">
        <v>36.701999999999998</v>
      </c>
      <c r="W75" s="29">
        <v>36.576000000000001</v>
      </c>
      <c r="X75" s="29">
        <v>17.783000000000001</v>
      </c>
      <c r="Y75" s="3">
        <v>0.90900000000000003</v>
      </c>
      <c r="Z75" s="44">
        <f t="shared" si="8"/>
        <v>909</v>
      </c>
      <c r="AA75" s="3">
        <v>5.7</v>
      </c>
      <c r="AB75" s="3">
        <v>116</v>
      </c>
      <c r="AC75" s="3">
        <v>7.2</v>
      </c>
      <c r="AD75" s="5">
        <f t="shared" si="10"/>
        <v>2.0622222222222222</v>
      </c>
      <c r="AE75" s="39">
        <v>-5.5</v>
      </c>
      <c r="AF75" s="39">
        <v>31.7</v>
      </c>
      <c r="AG75" s="39">
        <v>15.260999999999999</v>
      </c>
      <c r="AH75" s="51">
        <v>0.48099999999999998</v>
      </c>
      <c r="AI75" s="53">
        <v>48.4</v>
      </c>
    </row>
    <row r="76" spans="1:35" x14ac:dyDescent="0.3">
      <c r="A76" s="19" t="s">
        <v>22</v>
      </c>
      <c r="B76" s="56" t="str">
        <f t="shared" si="9"/>
        <v>ruim</v>
      </c>
      <c r="C76" s="59">
        <v>12</v>
      </c>
      <c r="D76" s="27">
        <v>0</v>
      </c>
      <c r="E76" s="56">
        <v>0</v>
      </c>
      <c r="F76" s="56">
        <v>1</v>
      </c>
      <c r="G76" s="56">
        <v>0</v>
      </c>
      <c r="H76" s="56">
        <v>0</v>
      </c>
      <c r="I76" s="56">
        <v>1</v>
      </c>
      <c r="J76" s="56">
        <v>1</v>
      </c>
      <c r="K76" s="56">
        <v>1</v>
      </c>
      <c r="L76" s="56">
        <v>0</v>
      </c>
      <c r="M76" s="56">
        <v>1</v>
      </c>
      <c r="N76" s="56">
        <v>0</v>
      </c>
      <c r="O76" s="56">
        <v>0</v>
      </c>
      <c r="P76" s="39"/>
      <c r="Q76" s="39"/>
      <c r="R76" s="20">
        <v>5</v>
      </c>
      <c r="S76" s="20">
        <v>3</v>
      </c>
      <c r="T76" s="3">
        <v>103.9</v>
      </c>
      <c r="U76" s="3">
        <v>17</v>
      </c>
      <c r="V76" s="29">
        <v>33.991900000000001</v>
      </c>
      <c r="W76" s="29">
        <v>35.478700000000003</v>
      </c>
      <c r="X76" s="29">
        <v>18.188400000000001</v>
      </c>
      <c r="Y76" s="3">
        <v>1.0469999999999999</v>
      </c>
      <c r="Z76" s="44">
        <f t="shared" si="8"/>
        <v>1047</v>
      </c>
      <c r="AA76" s="3">
        <v>6.1</v>
      </c>
      <c r="AB76" s="3">
        <v>116</v>
      </c>
      <c r="AC76" s="3">
        <v>9</v>
      </c>
      <c r="AD76" s="5">
        <f t="shared" si="10"/>
        <v>2.5777777777777779</v>
      </c>
      <c r="AE76" s="39">
        <v>-3.2</v>
      </c>
      <c r="AF76" s="39">
        <v>33.4</v>
      </c>
      <c r="AG76" s="39">
        <v>13.22</v>
      </c>
      <c r="AH76" s="51">
        <v>0.39600000000000002</v>
      </c>
      <c r="AI76" s="53">
        <v>49.9</v>
      </c>
    </row>
    <row r="77" spans="1:35" x14ac:dyDescent="0.3">
      <c r="A77" s="19" t="s">
        <v>23</v>
      </c>
      <c r="B77" s="27" t="str">
        <f t="shared" si="9"/>
        <v>bom</v>
      </c>
      <c r="C77" s="59">
        <v>4</v>
      </c>
      <c r="D77" s="56">
        <v>0</v>
      </c>
      <c r="E77" s="27">
        <v>0</v>
      </c>
      <c r="F77" s="27">
        <v>1</v>
      </c>
      <c r="G77" s="27">
        <v>0</v>
      </c>
      <c r="H77" s="27">
        <v>0</v>
      </c>
      <c r="I77" s="27">
        <v>0</v>
      </c>
      <c r="J77" s="27">
        <v>1</v>
      </c>
      <c r="K77" s="27">
        <v>1</v>
      </c>
      <c r="L77" s="27">
        <v>0</v>
      </c>
      <c r="M77" s="27">
        <v>0</v>
      </c>
      <c r="N77" s="27">
        <v>1</v>
      </c>
      <c r="O77" s="27">
        <v>0</v>
      </c>
      <c r="P77" s="3">
        <v>78</v>
      </c>
      <c r="Q77" s="3">
        <v>58</v>
      </c>
      <c r="R77" s="20">
        <v>3</v>
      </c>
      <c r="S77" s="20">
        <v>4</v>
      </c>
      <c r="T77" s="3">
        <v>111.5</v>
      </c>
      <c r="U77" s="3">
        <v>16</v>
      </c>
      <c r="V77" s="29">
        <v>37.313000000000002</v>
      </c>
      <c r="W77" s="29">
        <v>33.252499999999998</v>
      </c>
      <c r="X77" s="29">
        <v>20.2713</v>
      </c>
      <c r="Y77" s="3">
        <v>1.395</v>
      </c>
      <c r="Z77" s="44">
        <f t="shared" si="8"/>
        <v>1395</v>
      </c>
      <c r="AA77" s="3">
        <v>6</v>
      </c>
      <c r="AB77" s="3">
        <v>108</v>
      </c>
      <c r="AC77" s="3">
        <v>43.6</v>
      </c>
      <c r="AD77" s="5">
        <f t="shared" si="10"/>
        <v>11.626666666666667</v>
      </c>
      <c r="AE77" s="39">
        <v>0.7</v>
      </c>
      <c r="AF77" s="39">
        <v>30.8</v>
      </c>
      <c r="AG77" s="39">
        <v>14.042999999999999</v>
      </c>
      <c r="AH77" s="51">
        <v>0.45600000000000002</v>
      </c>
      <c r="AI77" s="53">
        <v>46.2</v>
      </c>
    </row>
    <row r="78" spans="1:35" x14ac:dyDescent="0.3">
      <c r="A78" s="19" t="s">
        <v>93</v>
      </c>
      <c r="B78" s="27" t="str">
        <f t="shared" si="9"/>
        <v>bom</v>
      </c>
      <c r="C78" s="59">
        <v>2</v>
      </c>
      <c r="D78" s="56">
        <v>0</v>
      </c>
      <c r="E78" s="27">
        <v>0</v>
      </c>
      <c r="F78" s="27">
        <v>0</v>
      </c>
      <c r="G78" s="27">
        <v>0</v>
      </c>
      <c r="H78" s="27">
        <v>0</v>
      </c>
      <c r="I78" s="27">
        <v>0</v>
      </c>
      <c r="J78" s="27">
        <v>0</v>
      </c>
      <c r="K78" s="27">
        <v>0</v>
      </c>
      <c r="L78" s="27">
        <v>0</v>
      </c>
      <c r="M78" s="27">
        <v>0</v>
      </c>
      <c r="N78" s="27">
        <v>0</v>
      </c>
      <c r="O78" s="27">
        <v>0</v>
      </c>
      <c r="P78" s="3">
        <v>66</v>
      </c>
      <c r="Q78" s="3">
        <v>83</v>
      </c>
      <c r="R78" s="20">
        <v>1</v>
      </c>
      <c r="S78" s="20">
        <v>0</v>
      </c>
      <c r="T78" s="3">
        <v>128</v>
      </c>
      <c r="U78" s="3">
        <v>16</v>
      </c>
      <c r="V78" s="29">
        <v>44.1</v>
      </c>
      <c r="W78" s="29">
        <v>50.872</v>
      </c>
      <c r="X78" s="29">
        <v>25.701000000000001</v>
      </c>
      <c r="Y78" s="3">
        <v>1.738</v>
      </c>
      <c r="Z78" s="44">
        <f t="shared" si="8"/>
        <v>1738</v>
      </c>
      <c r="AA78" s="3">
        <v>5.8</v>
      </c>
      <c r="AB78" s="3">
        <v>83</v>
      </c>
      <c r="AC78" s="3">
        <v>12</v>
      </c>
      <c r="AD78" s="5">
        <f t="shared" si="10"/>
        <v>2.4592592592592593</v>
      </c>
      <c r="AE78" s="39">
        <v>-7.4</v>
      </c>
      <c r="AF78" s="39">
        <v>42.33</v>
      </c>
      <c r="AG78" s="39">
        <v>20.178999999999998</v>
      </c>
      <c r="AH78" s="51">
        <v>0.47699999999999998</v>
      </c>
      <c r="AI78" s="53">
        <v>52.5</v>
      </c>
    </row>
    <row r="79" spans="1:35" x14ac:dyDescent="0.3">
      <c r="A79" s="19" t="s">
        <v>64</v>
      </c>
      <c r="B79" s="56" t="str">
        <f t="shared" si="9"/>
        <v>bom</v>
      </c>
      <c r="C79" s="59">
        <v>5</v>
      </c>
      <c r="D79" s="27">
        <v>1</v>
      </c>
      <c r="E79" s="56">
        <v>1</v>
      </c>
      <c r="F79" s="56">
        <v>1</v>
      </c>
      <c r="G79" s="56">
        <v>0</v>
      </c>
      <c r="H79" s="56">
        <v>0</v>
      </c>
      <c r="I79" s="56">
        <v>1</v>
      </c>
      <c r="J79" s="56">
        <v>0</v>
      </c>
      <c r="K79" s="56">
        <v>1</v>
      </c>
      <c r="L79" s="56">
        <v>1</v>
      </c>
      <c r="M79" s="56">
        <v>1</v>
      </c>
      <c r="N79" s="56">
        <v>0</v>
      </c>
      <c r="O79" s="56">
        <v>0</v>
      </c>
      <c r="P79" s="3">
        <v>64</v>
      </c>
      <c r="Q79" s="3">
        <v>69</v>
      </c>
      <c r="R79" s="20">
        <v>4</v>
      </c>
      <c r="S79" s="20">
        <v>4</v>
      </c>
      <c r="T79" s="21">
        <v>112.9</v>
      </c>
      <c r="U79" s="21">
        <v>28</v>
      </c>
      <c r="V79" s="22">
        <v>55.290999999999997</v>
      </c>
      <c r="W79" s="22">
        <v>34.625999999999998</v>
      </c>
      <c r="X79" s="22">
        <v>19.591999999999999</v>
      </c>
      <c r="Y79" s="21">
        <v>1.1839999999999999</v>
      </c>
      <c r="Z79" s="44">
        <f t="shared" si="8"/>
        <v>1184</v>
      </c>
      <c r="AA79" s="21" t="s">
        <v>105</v>
      </c>
      <c r="AB79" s="21">
        <v>146</v>
      </c>
      <c r="AC79" s="21">
        <v>12.5</v>
      </c>
      <c r="AD79" s="5">
        <f t="shared" si="10"/>
        <v>4.5061728395061724</v>
      </c>
      <c r="AE79" s="39"/>
      <c r="AF79" s="39">
        <v>31.8</v>
      </c>
      <c r="AG79" s="39">
        <v>24.524999999999999</v>
      </c>
      <c r="AH79" s="51">
        <v>0.77100000000000002</v>
      </c>
      <c r="AI79" s="53">
        <v>37.4</v>
      </c>
    </row>
    <row r="80" spans="1:35" x14ac:dyDescent="0.3">
      <c r="A80" s="19" t="s">
        <v>94</v>
      </c>
      <c r="B80" s="27" t="str">
        <f t="shared" si="9"/>
        <v>ruim</v>
      </c>
      <c r="C80" s="59">
        <v>10</v>
      </c>
      <c r="D80" s="27">
        <v>0</v>
      </c>
      <c r="E80" s="27">
        <v>1</v>
      </c>
      <c r="F80" s="27">
        <v>0</v>
      </c>
      <c r="G80" s="27">
        <v>1</v>
      </c>
      <c r="H80" s="27">
        <v>0</v>
      </c>
      <c r="I80" s="27">
        <v>1</v>
      </c>
      <c r="J80" s="27">
        <v>1</v>
      </c>
      <c r="K80" s="27">
        <v>0</v>
      </c>
      <c r="L80" s="27">
        <v>1</v>
      </c>
      <c r="M80" s="27">
        <v>1</v>
      </c>
      <c r="N80" s="27">
        <v>0</v>
      </c>
      <c r="O80" s="27">
        <v>1</v>
      </c>
      <c r="P80" s="3">
        <v>75</v>
      </c>
      <c r="Q80" s="3">
        <v>81</v>
      </c>
      <c r="R80" s="20">
        <v>13</v>
      </c>
      <c r="S80" s="20">
        <v>9</v>
      </c>
      <c r="T80" s="34">
        <v>101.1</v>
      </c>
      <c r="U80" s="34">
        <v>17</v>
      </c>
      <c r="V80" s="35">
        <v>34.054000000000002</v>
      </c>
      <c r="W80" s="35">
        <v>33.293999999999997</v>
      </c>
      <c r="X80" s="35">
        <v>17.651</v>
      </c>
      <c r="Y80" s="34">
        <v>0.92500000000000004</v>
      </c>
      <c r="Z80" s="44">
        <f t="shared" si="8"/>
        <v>925</v>
      </c>
      <c r="AA80" s="21">
        <v>6.8</v>
      </c>
      <c r="AB80" s="21">
        <v>132</v>
      </c>
      <c r="AC80" s="21">
        <v>19.2</v>
      </c>
      <c r="AD80" s="5">
        <f t="shared" si="10"/>
        <v>6.2577777777777781</v>
      </c>
      <c r="AE80" s="39">
        <v>-2.2000000000000002</v>
      </c>
      <c r="AF80" s="39">
        <v>32</v>
      </c>
      <c r="AG80" s="39">
        <v>13.9</v>
      </c>
      <c r="AH80" s="51">
        <v>0.434</v>
      </c>
      <c r="AI80" s="53">
        <v>48.3</v>
      </c>
    </row>
    <row r="81" spans="1:35" x14ac:dyDescent="0.3">
      <c r="A81" s="19" t="s">
        <v>65</v>
      </c>
      <c r="B81" s="27" t="str">
        <f t="shared" si="9"/>
        <v>bom</v>
      </c>
      <c r="C81" s="59">
        <v>4</v>
      </c>
      <c r="D81" s="56">
        <v>0</v>
      </c>
      <c r="E81" s="27">
        <v>0</v>
      </c>
      <c r="F81" s="27">
        <v>1</v>
      </c>
      <c r="G81" s="27">
        <v>0</v>
      </c>
      <c r="H81" s="27">
        <v>0</v>
      </c>
      <c r="I81" s="27">
        <v>1</v>
      </c>
      <c r="J81" s="27">
        <v>1</v>
      </c>
      <c r="K81" s="27">
        <v>1</v>
      </c>
      <c r="L81" s="27">
        <v>0</v>
      </c>
      <c r="M81" s="27">
        <v>1</v>
      </c>
      <c r="N81" s="27">
        <v>0</v>
      </c>
      <c r="O81" s="27">
        <v>0</v>
      </c>
      <c r="P81" s="3">
        <v>62</v>
      </c>
      <c r="Q81" s="3">
        <v>76</v>
      </c>
      <c r="R81" s="20">
        <v>5</v>
      </c>
      <c r="S81" s="20">
        <v>1</v>
      </c>
      <c r="T81" s="3">
        <v>117</v>
      </c>
      <c r="U81" s="5">
        <v>19</v>
      </c>
      <c r="V81" s="29">
        <v>46.195</v>
      </c>
      <c r="W81" s="29">
        <v>49.061500000000002</v>
      </c>
      <c r="X81" s="29">
        <v>24.056000000000001</v>
      </c>
      <c r="Y81" s="3">
        <v>1.3480000000000001</v>
      </c>
      <c r="Z81" s="44">
        <f t="shared" si="8"/>
        <v>1348</v>
      </c>
      <c r="AA81" s="3">
        <v>5.9</v>
      </c>
      <c r="AB81" s="3">
        <v>98</v>
      </c>
      <c r="AD81" s="5"/>
      <c r="AE81" s="39">
        <v>-6.2</v>
      </c>
      <c r="AF81" s="39">
        <v>40.799999999999997</v>
      </c>
      <c r="AG81" s="39">
        <v>20.065999999999999</v>
      </c>
      <c r="AH81" s="51">
        <v>0.49199999999999999</v>
      </c>
      <c r="AI81" s="53">
        <v>50.3</v>
      </c>
    </row>
    <row r="82" spans="1:35" x14ac:dyDescent="0.3">
      <c r="A82" s="19" t="s">
        <v>95</v>
      </c>
      <c r="B82" s="56" t="str">
        <f t="shared" si="9"/>
        <v>bom</v>
      </c>
      <c r="C82" s="59">
        <v>3</v>
      </c>
      <c r="D82" s="27">
        <v>1</v>
      </c>
      <c r="E82" s="56">
        <v>0</v>
      </c>
      <c r="F82" s="56">
        <v>1</v>
      </c>
      <c r="G82" s="56">
        <v>0</v>
      </c>
      <c r="H82" s="56">
        <v>0</v>
      </c>
      <c r="I82" s="56">
        <v>0</v>
      </c>
      <c r="J82" s="56">
        <v>0</v>
      </c>
      <c r="K82" s="56">
        <v>1</v>
      </c>
      <c r="L82" s="56">
        <v>0</v>
      </c>
      <c r="M82" s="56">
        <v>0</v>
      </c>
      <c r="N82" s="56">
        <v>0</v>
      </c>
      <c r="O82" s="56">
        <v>0</v>
      </c>
      <c r="P82" s="3">
        <v>74</v>
      </c>
      <c r="Q82" s="3">
        <v>55</v>
      </c>
      <c r="R82" s="20">
        <v>10</v>
      </c>
      <c r="S82" s="20">
        <v>6</v>
      </c>
      <c r="T82" s="3">
        <v>116.8</v>
      </c>
      <c r="U82" s="3">
        <v>28</v>
      </c>
      <c r="V82" s="29">
        <v>57.884099999999997</v>
      </c>
      <c r="W82" s="29">
        <v>36.779499999999999</v>
      </c>
      <c r="X82" s="29">
        <v>17.354800000000001</v>
      </c>
      <c r="Y82" s="3">
        <v>1.1519999999999999</v>
      </c>
      <c r="Z82" s="44">
        <f t="shared" si="8"/>
        <v>1152</v>
      </c>
      <c r="AA82" s="3">
        <v>5.0999999999999996</v>
      </c>
      <c r="AB82" s="3">
        <v>77</v>
      </c>
      <c r="AC82" s="3">
        <v>11</v>
      </c>
      <c r="AD82" s="5">
        <f>AB82*AC82/405</f>
        <v>2.0913580246913579</v>
      </c>
      <c r="AE82" s="39">
        <v>-4.3</v>
      </c>
      <c r="AF82" s="39">
        <v>34.97</v>
      </c>
      <c r="AG82" s="39">
        <v>27.460999999999999</v>
      </c>
      <c r="AH82" s="51">
        <v>0.78500000000000003</v>
      </c>
      <c r="AI82" s="53">
        <v>37.799999999999997</v>
      </c>
    </row>
    <row r="83" spans="1:35" x14ac:dyDescent="0.3">
      <c r="A83" s="19" t="s">
        <v>24</v>
      </c>
      <c r="B83" s="27" t="str">
        <f t="shared" si="9"/>
        <v>ruim</v>
      </c>
      <c r="C83" s="59">
        <v>7</v>
      </c>
      <c r="D83" s="27">
        <v>0</v>
      </c>
      <c r="E83" s="27">
        <v>1</v>
      </c>
      <c r="F83" s="27">
        <v>1</v>
      </c>
      <c r="G83" s="27">
        <v>1</v>
      </c>
      <c r="H83" s="27">
        <v>0</v>
      </c>
      <c r="I83" s="27">
        <v>1</v>
      </c>
      <c r="J83" s="27">
        <v>0</v>
      </c>
      <c r="K83" s="27">
        <v>1</v>
      </c>
      <c r="L83" s="27">
        <v>1</v>
      </c>
      <c r="M83" s="27">
        <v>1</v>
      </c>
      <c r="N83" s="27">
        <v>0</v>
      </c>
      <c r="O83" s="27">
        <v>1</v>
      </c>
      <c r="P83" s="3">
        <v>29</v>
      </c>
      <c r="Q83" s="3">
        <v>14</v>
      </c>
      <c r="R83" s="20">
        <v>18</v>
      </c>
      <c r="S83" s="20">
        <v>12</v>
      </c>
      <c r="T83" s="21">
        <v>116.5</v>
      </c>
      <c r="U83" s="21">
        <v>17</v>
      </c>
      <c r="V83" s="22">
        <v>47.563499999999998</v>
      </c>
      <c r="W83" s="22">
        <v>52.801099999999998</v>
      </c>
      <c r="X83" s="22">
        <v>26.32</v>
      </c>
      <c r="Y83" s="21">
        <v>1.143</v>
      </c>
      <c r="Z83" s="44">
        <f t="shared" si="8"/>
        <v>1143</v>
      </c>
      <c r="AA83" s="30"/>
      <c r="AB83" s="30"/>
      <c r="AC83" s="30"/>
      <c r="AD83" s="5"/>
      <c r="AE83" s="39"/>
      <c r="AF83" s="39">
        <v>37.18</v>
      </c>
      <c r="AG83" s="39">
        <v>21.254999999999999</v>
      </c>
      <c r="AH83" s="51">
        <v>0.57199999999999995</v>
      </c>
      <c r="AI83" s="53">
        <v>51.4</v>
      </c>
    </row>
    <row r="84" spans="1:35" x14ac:dyDescent="0.3">
      <c r="A84" s="19" t="s">
        <v>96</v>
      </c>
      <c r="B84" s="27" t="str">
        <f t="shared" si="9"/>
        <v>ruim</v>
      </c>
      <c r="C84" s="59">
        <v>8</v>
      </c>
      <c r="D84" s="56">
        <v>0</v>
      </c>
      <c r="E84" s="27">
        <v>1</v>
      </c>
      <c r="F84" s="27">
        <v>0</v>
      </c>
      <c r="G84" s="27">
        <v>1</v>
      </c>
      <c r="H84" s="27">
        <v>0</v>
      </c>
      <c r="I84" s="27">
        <v>1</v>
      </c>
      <c r="J84" s="27">
        <v>1</v>
      </c>
      <c r="K84" s="27">
        <v>0</v>
      </c>
      <c r="L84" s="27">
        <v>1</v>
      </c>
      <c r="M84" s="27">
        <v>1</v>
      </c>
      <c r="N84" s="27">
        <v>0</v>
      </c>
      <c r="O84" s="27">
        <v>1</v>
      </c>
      <c r="P84" s="3">
        <v>76</v>
      </c>
      <c r="Q84" s="3">
        <v>34</v>
      </c>
      <c r="R84" s="20">
        <v>9</v>
      </c>
      <c r="S84" s="20">
        <v>3</v>
      </c>
      <c r="T84" s="24">
        <v>102.5</v>
      </c>
      <c r="U84" s="24">
        <v>14</v>
      </c>
      <c r="V84" s="25">
        <v>32.761000000000003</v>
      </c>
      <c r="W84" s="25">
        <v>27.9968</v>
      </c>
      <c r="X84" s="25">
        <v>16.690100000000001</v>
      </c>
      <c r="Y84" s="24">
        <v>0.872</v>
      </c>
      <c r="Z84" s="44">
        <f t="shared" si="8"/>
        <v>872</v>
      </c>
      <c r="AA84" s="26">
        <v>7.8</v>
      </c>
      <c r="AB84" s="26">
        <v>166</v>
      </c>
      <c r="AC84" s="26">
        <v>13.4</v>
      </c>
      <c r="AD84" s="5">
        <f t="shared" ref="AD84:AD89" si="11">AB84*AC84/405</f>
        <v>5.4923456790123462</v>
      </c>
      <c r="AE84" s="39">
        <v>-2.7</v>
      </c>
      <c r="AF84" s="39">
        <v>31.9</v>
      </c>
      <c r="AG84" s="39">
        <v>12.92</v>
      </c>
      <c r="AH84" s="51">
        <v>0.41299999999999998</v>
      </c>
      <c r="AI84" s="53">
        <v>45.1</v>
      </c>
    </row>
    <row r="85" spans="1:35" x14ac:dyDescent="0.3">
      <c r="A85" s="19" t="s">
        <v>25</v>
      </c>
      <c r="B85" s="56" t="str">
        <f t="shared" si="9"/>
        <v>bom</v>
      </c>
      <c r="C85" s="59">
        <v>3</v>
      </c>
      <c r="D85" s="56">
        <v>0</v>
      </c>
      <c r="E85" s="56">
        <v>0</v>
      </c>
      <c r="F85" s="56">
        <v>0</v>
      </c>
      <c r="G85" s="56">
        <v>0</v>
      </c>
      <c r="H85" s="56">
        <v>0</v>
      </c>
      <c r="I85" s="56">
        <v>0</v>
      </c>
      <c r="J85" s="56">
        <v>1</v>
      </c>
      <c r="K85" s="56">
        <v>0</v>
      </c>
      <c r="L85" s="56">
        <v>0</v>
      </c>
      <c r="M85" s="56">
        <v>0</v>
      </c>
      <c r="N85" s="56">
        <v>0</v>
      </c>
      <c r="O85" s="56">
        <v>0</v>
      </c>
      <c r="P85" s="3">
        <v>76</v>
      </c>
      <c r="Q85" s="3">
        <v>87</v>
      </c>
      <c r="R85" s="20">
        <v>1</v>
      </c>
      <c r="S85" s="20">
        <v>2</v>
      </c>
      <c r="T85" s="3">
        <v>108</v>
      </c>
      <c r="U85" s="3">
        <v>16</v>
      </c>
      <c r="V85" s="29">
        <v>39.778399999999998</v>
      </c>
      <c r="W85" s="29">
        <v>45.328800000000001</v>
      </c>
      <c r="X85" s="29">
        <v>20.644100000000002</v>
      </c>
      <c r="Y85" s="3">
        <v>1.0529999999999999</v>
      </c>
      <c r="Z85" s="44">
        <f t="shared" si="8"/>
        <v>1053</v>
      </c>
      <c r="AA85" s="3">
        <v>5.0999999999999996</v>
      </c>
      <c r="AB85" s="3">
        <v>99</v>
      </c>
      <c r="AC85" s="3">
        <v>8</v>
      </c>
      <c r="AD85" s="5">
        <f t="shared" si="11"/>
        <v>1.9555555555555555</v>
      </c>
      <c r="AE85" s="39">
        <v>3.4</v>
      </c>
      <c r="AF85" s="39">
        <v>34.75</v>
      </c>
      <c r="AG85" s="39">
        <v>16.824999999999999</v>
      </c>
      <c r="AH85" s="51">
        <v>0.48399999999999999</v>
      </c>
      <c r="AI85" s="53">
        <v>52</v>
      </c>
    </row>
    <row r="86" spans="1:35" x14ac:dyDescent="0.3">
      <c r="A86" s="19" t="s">
        <v>97</v>
      </c>
      <c r="B86" s="27" t="str">
        <f t="shared" si="9"/>
        <v>bom</v>
      </c>
      <c r="C86" s="59">
        <v>5</v>
      </c>
      <c r="D86" s="27">
        <v>0</v>
      </c>
      <c r="E86" s="27">
        <v>0</v>
      </c>
      <c r="F86" s="27">
        <v>0</v>
      </c>
      <c r="G86" s="27">
        <v>0</v>
      </c>
      <c r="H86" s="27">
        <v>0</v>
      </c>
      <c r="I86" s="27">
        <v>1</v>
      </c>
      <c r="J86" s="27">
        <v>1</v>
      </c>
      <c r="K86" s="27">
        <v>0</v>
      </c>
      <c r="L86" s="27">
        <v>0</v>
      </c>
      <c r="M86" s="27">
        <v>1</v>
      </c>
      <c r="N86" s="27">
        <v>0</v>
      </c>
      <c r="O86" s="27">
        <v>0</v>
      </c>
      <c r="P86" s="3">
        <v>98</v>
      </c>
      <c r="Q86" s="3">
        <v>97</v>
      </c>
      <c r="R86" s="20">
        <v>9</v>
      </c>
      <c r="S86" s="20">
        <v>4</v>
      </c>
      <c r="T86" s="3">
        <v>101.6</v>
      </c>
      <c r="U86" s="3">
        <v>16</v>
      </c>
      <c r="V86" s="29">
        <v>35.359000000000002</v>
      </c>
      <c r="W86" s="29">
        <v>39.996000000000002</v>
      </c>
      <c r="X86" s="29">
        <v>20.047599999999999</v>
      </c>
      <c r="Y86" s="3">
        <v>1.1040000000000001</v>
      </c>
      <c r="Z86" s="44">
        <f t="shared" si="8"/>
        <v>1104</v>
      </c>
      <c r="AA86" s="3">
        <v>5.4</v>
      </c>
      <c r="AB86" s="3">
        <v>90</v>
      </c>
      <c r="AC86" s="3">
        <v>11</v>
      </c>
      <c r="AD86" s="5">
        <f t="shared" si="11"/>
        <v>2.4444444444444446</v>
      </c>
      <c r="AE86" s="39">
        <v>-0.6</v>
      </c>
      <c r="AF86" s="39">
        <v>32.5</v>
      </c>
      <c r="AG86" s="39">
        <v>15.13</v>
      </c>
      <c r="AH86" s="51">
        <v>0.46600000000000003</v>
      </c>
      <c r="AI86" s="53">
        <v>51.8</v>
      </c>
    </row>
    <row r="87" spans="1:35" x14ac:dyDescent="0.3">
      <c r="A87" s="19" t="s">
        <v>66</v>
      </c>
      <c r="B87" s="27" t="str">
        <f t="shared" si="9"/>
        <v>ruim</v>
      </c>
      <c r="C87" s="59">
        <v>9</v>
      </c>
      <c r="D87" s="27">
        <v>1</v>
      </c>
      <c r="E87" s="27">
        <v>0</v>
      </c>
      <c r="F87" s="27">
        <v>1</v>
      </c>
      <c r="G87" s="27">
        <v>1</v>
      </c>
      <c r="H87" s="27">
        <v>1</v>
      </c>
      <c r="I87" s="27">
        <v>0</v>
      </c>
      <c r="J87" s="27">
        <v>0</v>
      </c>
      <c r="K87" s="27">
        <v>1</v>
      </c>
      <c r="L87" s="27">
        <v>0</v>
      </c>
      <c r="M87" s="27">
        <v>0</v>
      </c>
      <c r="N87" s="27">
        <v>0</v>
      </c>
      <c r="O87" s="27">
        <v>1</v>
      </c>
      <c r="P87" s="3">
        <v>58</v>
      </c>
      <c r="Q87" s="3">
        <v>28</v>
      </c>
      <c r="R87" s="20">
        <v>8</v>
      </c>
      <c r="S87" s="20">
        <v>6</v>
      </c>
      <c r="T87" s="3">
        <v>136.5</v>
      </c>
      <c r="U87" s="3">
        <v>20</v>
      </c>
      <c r="V87" s="29">
        <v>62.0762</v>
      </c>
      <c r="W87" s="29">
        <v>57.405000000000001</v>
      </c>
      <c r="X87" s="29">
        <v>34.082999999999998</v>
      </c>
      <c r="Y87" s="3">
        <v>1.929</v>
      </c>
      <c r="Z87" s="44">
        <f t="shared" si="8"/>
        <v>1929</v>
      </c>
      <c r="AA87" s="3">
        <v>5.4</v>
      </c>
      <c r="AB87" s="3">
        <v>104</v>
      </c>
      <c r="AC87" s="3">
        <v>32</v>
      </c>
      <c r="AD87" s="5">
        <f t="shared" si="11"/>
        <v>8.2172839506172846</v>
      </c>
      <c r="AE87" s="39">
        <v>-9.8000000000000007</v>
      </c>
      <c r="AF87" s="39">
        <v>40.729999999999997</v>
      </c>
      <c r="AG87" s="39">
        <v>26.864000000000001</v>
      </c>
      <c r="AH87" s="51">
        <v>0.66</v>
      </c>
      <c r="AI87" s="53">
        <v>47.1</v>
      </c>
    </row>
    <row r="88" spans="1:35" x14ac:dyDescent="0.3">
      <c r="A88" s="19" t="s">
        <v>67</v>
      </c>
      <c r="B88" s="56" t="str">
        <f t="shared" si="9"/>
        <v>ruim</v>
      </c>
      <c r="C88" s="59">
        <v>6</v>
      </c>
      <c r="D88" s="56">
        <v>1</v>
      </c>
      <c r="E88" s="56">
        <v>0</v>
      </c>
      <c r="F88" s="56">
        <v>0</v>
      </c>
      <c r="G88" s="56">
        <v>1</v>
      </c>
      <c r="H88" s="56">
        <v>1</v>
      </c>
      <c r="I88" s="56">
        <v>1</v>
      </c>
      <c r="J88" s="56">
        <v>1</v>
      </c>
      <c r="K88" s="56">
        <v>0</v>
      </c>
      <c r="L88" s="56">
        <v>0</v>
      </c>
      <c r="M88" s="56">
        <v>1</v>
      </c>
      <c r="N88" s="56">
        <v>0</v>
      </c>
      <c r="O88" s="56">
        <v>1</v>
      </c>
      <c r="P88" s="3">
        <v>79</v>
      </c>
      <c r="Q88" s="3">
        <v>76</v>
      </c>
      <c r="R88" s="20">
        <v>4</v>
      </c>
      <c r="S88" s="20">
        <v>5</v>
      </c>
      <c r="T88" s="3">
        <v>113</v>
      </c>
      <c r="U88" s="3">
        <v>26</v>
      </c>
      <c r="V88" s="29">
        <v>50.594000000000001</v>
      </c>
      <c r="W88" s="29">
        <v>35.159999999999997</v>
      </c>
      <c r="X88" s="29">
        <v>20.919</v>
      </c>
      <c r="Y88" s="3">
        <v>1.5089999999999999</v>
      </c>
      <c r="Z88" s="44">
        <f t="shared" si="8"/>
        <v>1509</v>
      </c>
      <c r="AA88" s="3">
        <v>5.6</v>
      </c>
      <c r="AB88" s="3">
        <v>95</v>
      </c>
      <c r="AC88" s="3">
        <v>16</v>
      </c>
      <c r="AD88" s="5">
        <f t="shared" si="11"/>
        <v>3.7530864197530862</v>
      </c>
      <c r="AE88" s="39">
        <v>-9.1</v>
      </c>
      <c r="AF88" s="39">
        <v>32.520000000000003</v>
      </c>
      <c r="AG88" s="39">
        <v>21.193999999999999</v>
      </c>
      <c r="AH88" s="51">
        <v>0.65200000000000002</v>
      </c>
      <c r="AI88" s="53">
        <v>40.1</v>
      </c>
    </row>
    <row r="89" spans="1:35" x14ac:dyDescent="0.3">
      <c r="A89" s="19" t="s">
        <v>26</v>
      </c>
      <c r="B89" s="27" t="str">
        <f t="shared" si="9"/>
        <v>bom</v>
      </c>
      <c r="C89" s="59">
        <v>5</v>
      </c>
      <c r="D89" s="27">
        <v>0</v>
      </c>
      <c r="E89" s="27">
        <v>0</v>
      </c>
      <c r="F89" s="27">
        <v>1</v>
      </c>
      <c r="G89" s="27">
        <v>0</v>
      </c>
      <c r="H89" s="27">
        <v>0</v>
      </c>
      <c r="I89" s="27">
        <v>1</v>
      </c>
      <c r="J89" s="27">
        <v>1</v>
      </c>
      <c r="K89" s="27">
        <v>1</v>
      </c>
      <c r="L89" s="27">
        <v>0</v>
      </c>
      <c r="M89" s="27">
        <v>1</v>
      </c>
      <c r="N89" s="27">
        <v>0</v>
      </c>
      <c r="O89" s="27">
        <v>0</v>
      </c>
      <c r="P89" s="3">
        <v>77</v>
      </c>
      <c r="Q89" s="3">
        <v>89</v>
      </c>
      <c r="R89" s="20">
        <v>6</v>
      </c>
      <c r="S89" s="20">
        <v>3</v>
      </c>
      <c r="T89" s="24">
        <v>98.2</v>
      </c>
      <c r="U89" s="24">
        <v>15</v>
      </c>
      <c r="V89" s="31">
        <v>36.4253</v>
      </c>
      <c r="W89" s="25">
        <v>33.716999999999999</v>
      </c>
      <c r="X89" s="25">
        <v>17.077999999999999</v>
      </c>
      <c r="Y89" s="24">
        <v>0.78700000000000003</v>
      </c>
      <c r="Z89" s="44">
        <f t="shared" si="8"/>
        <v>787</v>
      </c>
      <c r="AA89" s="26">
        <v>5.5</v>
      </c>
      <c r="AB89" s="26">
        <v>94</v>
      </c>
      <c r="AC89" s="26">
        <v>9.3000000000000007</v>
      </c>
      <c r="AD89" s="5">
        <f t="shared" si="11"/>
        <v>2.1585185185185187</v>
      </c>
      <c r="AE89" s="39"/>
      <c r="AF89" s="39">
        <v>30.9</v>
      </c>
      <c r="AG89" s="39">
        <v>13.829000000000001</v>
      </c>
      <c r="AH89" s="51">
        <v>0.44800000000000001</v>
      </c>
      <c r="AI89" s="53">
        <v>46.8</v>
      </c>
    </row>
    <row r="90" spans="1:35" x14ac:dyDescent="0.3">
      <c r="A90" s="19" t="s">
        <v>27</v>
      </c>
      <c r="B90" s="27" t="str">
        <f t="shared" si="9"/>
        <v>bom</v>
      </c>
      <c r="C90" s="59">
        <v>2</v>
      </c>
      <c r="D90" s="27">
        <v>0</v>
      </c>
      <c r="E90" s="27">
        <v>0</v>
      </c>
      <c r="F90" s="27">
        <v>1</v>
      </c>
      <c r="G90" s="27">
        <v>0</v>
      </c>
      <c r="H90" s="27">
        <v>0</v>
      </c>
      <c r="I90" s="27">
        <v>1</v>
      </c>
      <c r="J90" s="27">
        <v>1</v>
      </c>
      <c r="K90" s="27">
        <v>1</v>
      </c>
      <c r="L90" s="27">
        <v>0</v>
      </c>
      <c r="M90" s="27">
        <v>1</v>
      </c>
      <c r="N90" s="27">
        <v>0</v>
      </c>
      <c r="O90" s="27">
        <v>0</v>
      </c>
      <c r="P90" s="3">
        <v>87</v>
      </c>
      <c r="Q90" s="3">
        <v>41</v>
      </c>
      <c r="R90" s="20">
        <v>15</v>
      </c>
      <c r="S90" s="20">
        <v>10</v>
      </c>
      <c r="T90" s="24">
        <v>96</v>
      </c>
      <c r="U90" s="24">
        <v>20</v>
      </c>
      <c r="V90" s="25">
        <v>35.978999999999999</v>
      </c>
      <c r="W90" s="25">
        <v>27.046299999999999</v>
      </c>
      <c r="X90" s="25">
        <v>13.691800000000001</v>
      </c>
      <c r="Y90" s="24">
        <v>0.84</v>
      </c>
      <c r="Z90" s="44">
        <f t="shared" si="8"/>
        <v>840</v>
      </c>
      <c r="AA90" s="26">
        <v>5.7</v>
      </c>
      <c r="AB90" s="26">
        <v>91</v>
      </c>
      <c r="AC90" s="32"/>
      <c r="AD90" s="5"/>
      <c r="AE90" s="39">
        <v>-1.1000000000000001</v>
      </c>
      <c r="AF90" s="39">
        <v>31.3</v>
      </c>
      <c r="AG90" s="39">
        <v>15.257</v>
      </c>
      <c r="AH90" s="51">
        <v>0.48699999999999999</v>
      </c>
      <c r="AI90" s="53">
        <v>42</v>
      </c>
    </row>
    <row r="91" spans="1:35" x14ac:dyDescent="0.3">
      <c r="A91" s="19" t="s">
        <v>28</v>
      </c>
      <c r="B91" s="56" t="str">
        <f t="shared" si="9"/>
        <v>ruim</v>
      </c>
      <c r="C91" s="59">
        <v>7</v>
      </c>
      <c r="D91" s="56">
        <v>1</v>
      </c>
      <c r="E91" s="56">
        <v>0</v>
      </c>
      <c r="F91" s="56">
        <v>1</v>
      </c>
      <c r="G91" s="56">
        <v>0</v>
      </c>
      <c r="H91" s="56">
        <v>0</v>
      </c>
      <c r="I91" s="56">
        <v>1</v>
      </c>
      <c r="J91" s="56">
        <v>0</v>
      </c>
      <c r="K91" s="56">
        <v>1</v>
      </c>
      <c r="L91" s="56">
        <v>0</v>
      </c>
      <c r="M91" s="56">
        <v>1</v>
      </c>
      <c r="N91" s="56">
        <v>0</v>
      </c>
      <c r="O91" s="56">
        <v>0</v>
      </c>
      <c r="P91" s="3">
        <v>48</v>
      </c>
      <c r="Q91" s="3">
        <v>40</v>
      </c>
      <c r="R91" s="20">
        <v>10</v>
      </c>
      <c r="S91" s="20">
        <v>4</v>
      </c>
      <c r="T91" s="21">
        <v>123</v>
      </c>
      <c r="U91" s="21">
        <v>34</v>
      </c>
      <c r="V91" s="22">
        <v>58.506</v>
      </c>
      <c r="W91" s="22">
        <v>37.423000000000002</v>
      </c>
      <c r="X91" s="22">
        <v>20.206</v>
      </c>
      <c r="Y91" s="21">
        <v>1.492</v>
      </c>
      <c r="Z91" s="44">
        <f t="shared" si="8"/>
        <v>1492</v>
      </c>
      <c r="AA91" s="30"/>
      <c r="AB91" s="30"/>
      <c r="AC91" s="30"/>
      <c r="AD91" s="5"/>
      <c r="AE91" s="39"/>
      <c r="AF91" s="39">
        <v>38.299999999999997</v>
      </c>
      <c r="AG91" s="39">
        <v>24.856999999999999</v>
      </c>
      <c r="AH91" s="51">
        <v>0.64900000000000002</v>
      </c>
      <c r="AI91" s="53">
        <v>37.9</v>
      </c>
    </row>
    <row r="92" spans="1:35" x14ac:dyDescent="0.3">
      <c r="A92" s="19" t="s">
        <v>98</v>
      </c>
      <c r="B92" s="27" t="str">
        <f t="shared" si="9"/>
        <v>bom</v>
      </c>
      <c r="C92" s="59">
        <v>2</v>
      </c>
      <c r="D92" s="56">
        <v>0</v>
      </c>
      <c r="E92" s="27">
        <v>1</v>
      </c>
      <c r="F92" s="27">
        <v>1</v>
      </c>
      <c r="G92" s="27">
        <v>0</v>
      </c>
      <c r="H92" s="27">
        <v>0</v>
      </c>
      <c r="I92" s="27">
        <v>0</v>
      </c>
      <c r="J92" s="27">
        <v>0</v>
      </c>
      <c r="K92" s="27">
        <v>1</v>
      </c>
      <c r="L92" s="27">
        <v>1</v>
      </c>
      <c r="M92" s="27">
        <v>0</v>
      </c>
      <c r="N92" s="27">
        <v>0</v>
      </c>
      <c r="O92" s="27">
        <v>0</v>
      </c>
      <c r="P92" s="3">
        <v>67</v>
      </c>
      <c r="Q92" s="3">
        <v>84</v>
      </c>
      <c r="R92" s="20">
        <v>4</v>
      </c>
      <c r="S92" s="20">
        <v>3</v>
      </c>
      <c r="T92" s="3">
        <v>119.8</v>
      </c>
      <c r="U92" s="5">
        <v>16</v>
      </c>
      <c r="V92" s="29">
        <v>43.436</v>
      </c>
      <c r="W92" s="29">
        <v>42.767000000000003</v>
      </c>
      <c r="X92" s="29">
        <v>21.477</v>
      </c>
      <c r="Y92" s="3">
        <v>0.80400000000000005</v>
      </c>
      <c r="Z92" s="44">
        <f t="shared" si="8"/>
        <v>804</v>
      </c>
      <c r="AA92" s="3">
        <v>7.1</v>
      </c>
      <c r="AB92" s="3">
        <v>130</v>
      </c>
      <c r="AC92" s="3">
        <v>11.8</v>
      </c>
      <c r="AD92" s="5">
        <f>AB92*AC92/405</f>
        <v>3.7876543209876545</v>
      </c>
      <c r="AE92" s="39">
        <v>-6.6</v>
      </c>
      <c r="AF92" s="39">
        <v>37.700000000000003</v>
      </c>
      <c r="AG92" s="39">
        <v>16.954000000000001</v>
      </c>
      <c r="AH92" s="51">
        <v>0.45</v>
      </c>
      <c r="AI92" s="53">
        <v>48.3</v>
      </c>
    </row>
    <row r="93" spans="1:35" x14ac:dyDescent="0.3">
      <c r="A93" s="19" t="s">
        <v>29</v>
      </c>
      <c r="B93" s="27" t="str">
        <f t="shared" si="9"/>
        <v>bom</v>
      </c>
      <c r="C93" s="59">
        <v>3</v>
      </c>
      <c r="D93" s="27">
        <v>0</v>
      </c>
      <c r="E93" s="27">
        <v>0</v>
      </c>
      <c r="F93" s="27">
        <v>1</v>
      </c>
      <c r="G93" s="27">
        <v>0</v>
      </c>
      <c r="H93" s="27">
        <v>0</v>
      </c>
      <c r="I93" s="27">
        <v>0</v>
      </c>
      <c r="J93" s="27">
        <v>1</v>
      </c>
      <c r="K93" s="27">
        <v>1</v>
      </c>
      <c r="L93" s="27">
        <v>0</v>
      </c>
      <c r="M93" s="27">
        <v>0</v>
      </c>
      <c r="N93" s="27">
        <v>0</v>
      </c>
      <c r="O93" s="27">
        <v>0</v>
      </c>
      <c r="P93" s="3">
        <v>77</v>
      </c>
      <c r="Q93" s="3">
        <v>78</v>
      </c>
      <c r="R93" s="20">
        <v>1</v>
      </c>
      <c r="S93" s="20">
        <v>2</v>
      </c>
      <c r="T93" s="21">
        <v>125</v>
      </c>
      <c r="U93" s="21">
        <v>16</v>
      </c>
      <c r="V93" s="22">
        <v>46.606999999999999</v>
      </c>
      <c r="W93" s="21">
        <v>54.015099999999997</v>
      </c>
      <c r="X93" s="22">
        <v>29.861000000000001</v>
      </c>
      <c r="Y93" s="21">
        <v>1.2889999999999999</v>
      </c>
      <c r="Z93" s="44">
        <f t="shared" si="8"/>
        <v>1289</v>
      </c>
      <c r="AA93" s="21">
        <v>5.6</v>
      </c>
      <c r="AB93" s="21">
        <v>85</v>
      </c>
      <c r="AC93" s="21">
        <v>18.600000000000001</v>
      </c>
      <c r="AD93" s="5">
        <f>AB93*AC93/405</f>
        <v>3.9037037037037043</v>
      </c>
      <c r="AE93" s="39"/>
      <c r="AF93" s="39">
        <v>39.700000000000003</v>
      </c>
      <c r="AG93" s="39">
        <v>17.786000000000001</v>
      </c>
      <c r="AH93" s="51">
        <v>0.44800000000000001</v>
      </c>
      <c r="AI93" s="53">
        <v>53.7</v>
      </c>
    </row>
    <row r="94" spans="1:35" x14ac:dyDescent="0.3">
      <c r="A94" s="19" t="s">
        <v>30</v>
      </c>
      <c r="B94" s="56" t="str">
        <f t="shared" si="9"/>
        <v>bom</v>
      </c>
      <c r="C94" s="59">
        <v>4</v>
      </c>
      <c r="D94" s="27">
        <v>0</v>
      </c>
      <c r="E94" s="56">
        <v>0</v>
      </c>
      <c r="F94" s="56">
        <v>1</v>
      </c>
      <c r="G94" s="56">
        <v>0</v>
      </c>
      <c r="H94" s="56">
        <v>1</v>
      </c>
      <c r="I94" s="56">
        <v>0</v>
      </c>
      <c r="J94" s="56">
        <v>0</v>
      </c>
      <c r="K94" s="56">
        <v>1</v>
      </c>
      <c r="L94" s="56">
        <v>0</v>
      </c>
      <c r="M94" s="56">
        <v>0</v>
      </c>
      <c r="N94" s="56">
        <v>0</v>
      </c>
      <c r="O94" s="56">
        <v>0</v>
      </c>
      <c r="P94" s="3">
        <v>71</v>
      </c>
      <c r="Q94" s="3">
        <v>64</v>
      </c>
      <c r="R94" s="20">
        <v>3</v>
      </c>
      <c r="S94" s="20">
        <v>0</v>
      </c>
      <c r="T94" s="3">
        <v>113.5</v>
      </c>
      <c r="U94" s="3">
        <v>19</v>
      </c>
      <c r="V94" s="29">
        <v>42.59</v>
      </c>
      <c r="W94" s="29">
        <v>46.732399999999998</v>
      </c>
      <c r="X94" s="29">
        <v>21.058</v>
      </c>
      <c r="Y94" s="3">
        <v>0.91800000000000004</v>
      </c>
      <c r="Z94" s="44">
        <f t="shared" si="8"/>
        <v>918</v>
      </c>
      <c r="AA94" s="3">
        <v>5.2</v>
      </c>
      <c r="AB94" s="3">
        <v>98</v>
      </c>
      <c r="AC94" s="3">
        <v>16</v>
      </c>
      <c r="AD94" s="5">
        <f>AB94*AC94/405</f>
        <v>3.8716049382716049</v>
      </c>
      <c r="AE94" s="39">
        <v>0.5</v>
      </c>
      <c r="AF94" s="39">
        <v>40.5</v>
      </c>
      <c r="AG94" s="39">
        <v>19.018999999999998</v>
      </c>
      <c r="AH94" s="51">
        <v>0.47</v>
      </c>
      <c r="AI94" s="53">
        <v>51.2</v>
      </c>
    </row>
    <row r="95" spans="1:35" x14ac:dyDescent="0.3">
      <c r="A95" s="19" t="s">
        <v>31</v>
      </c>
      <c r="B95" s="27" t="str">
        <f t="shared" si="9"/>
        <v>ruim</v>
      </c>
      <c r="C95" s="59">
        <v>10</v>
      </c>
      <c r="D95" s="56">
        <v>0</v>
      </c>
      <c r="E95" s="27">
        <v>0</v>
      </c>
      <c r="F95" s="27">
        <v>1</v>
      </c>
      <c r="G95" s="27">
        <v>1</v>
      </c>
      <c r="H95" s="27">
        <v>0</v>
      </c>
      <c r="I95" s="27">
        <v>1</v>
      </c>
      <c r="J95" s="27">
        <v>1</v>
      </c>
      <c r="K95" s="27">
        <v>1</v>
      </c>
      <c r="L95" s="27">
        <v>0</v>
      </c>
      <c r="M95" s="27">
        <v>1</v>
      </c>
      <c r="N95" s="27">
        <v>0</v>
      </c>
      <c r="O95" s="27">
        <v>1</v>
      </c>
      <c r="P95" s="3">
        <v>38</v>
      </c>
      <c r="Q95" s="3">
        <v>86</v>
      </c>
      <c r="R95" s="20">
        <v>1</v>
      </c>
      <c r="S95" s="20">
        <v>3</v>
      </c>
      <c r="T95" s="3">
        <v>110.6</v>
      </c>
      <c r="U95" s="3">
        <v>14</v>
      </c>
      <c r="V95" s="29">
        <v>41.259</v>
      </c>
      <c r="W95" s="29">
        <v>42.395000000000003</v>
      </c>
      <c r="X95" s="29">
        <v>22.6</v>
      </c>
      <c r="Y95" s="3">
        <v>1.371</v>
      </c>
      <c r="Z95" s="44">
        <f t="shared" si="8"/>
        <v>1371</v>
      </c>
      <c r="AA95" s="3">
        <v>5.9</v>
      </c>
      <c r="AB95" s="3">
        <v>89</v>
      </c>
      <c r="AC95" s="3">
        <v>10.7</v>
      </c>
      <c r="AD95" s="5">
        <f>AB95*AC95/405</f>
        <v>2.3513580246913581</v>
      </c>
      <c r="AE95" s="39">
        <v>2</v>
      </c>
      <c r="AF95" s="39">
        <v>34.1</v>
      </c>
      <c r="AG95" s="39">
        <v>17.166</v>
      </c>
      <c r="AH95" s="51">
        <v>0.503</v>
      </c>
      <c r="AI95" s="53">
        <v>49.6</v>
      </c>
    </row>
    <row r="96" spans="1:35" x14ac:dyDescent="0.3">
      <c r="A96" s="19" t="s">
        <v>99</v>
      </c>
      <c r="B96" s="27" t="str">
        <f t="shared" si="9"/>
        <v>ruim</v>
      </c>
      <c r="C96" s="59">
        <v>14</v>
      </c>
      <c r="D96" s="27">
        <v>0</v>
      </c>
      <c r="E96" s="27">
        <v>1</v>
      </c>
      <c r="F96" s="27">
        <v>1</v>
      </c>
      <c r="G96" s="27">
        <v>0</v>
      </c>
      <c r="H96" s="27">
        <v>0</v>
      </c>
      <c r="I96" s="27">
        <v>0</v>
      </c>
      <c r="J96" s="27">
        <v>0</v>
      </c>
      <c r="K96" s="27">
        <v>1</v>
      </c>
      <c r="L96" s="27">
        <v>1</v>
      </c>
      <c r="M96" s="27">
        <v>0</v>
      </c>
      <c r="N96" s="27">
        <v>1</v>
      </c>
      <c r="O96" s="27">
        <v>0</v>
      </c>
      <c r="P96" s="3">
        <v>59</v>
      </c>
      <c r="Q96" s="3">
        <v>77</v>
      </c>
      <c r="R96" s="20">
        <v>16</v>
      </c>
      <c r="S96" s="20">
        <v>8</v>
      </c>
      <c r="T96" s="21">
        <v>126</v>
      </c>
      <c r="U96" s="21">
        <v>29</v>
      </c>
      <c r="V96" s="22">
        <v>48.055999999999997</v>
      </c>
      <c r="W96" s="22">
        <v>62.143599999999999</v>
      </c>
      <c r="X96" s="22">
        <v>29.5871</v>
      </c>
      <c r="Y96" s="21">
        <v>1.909</v>
      </c>
      <c r="Z96" s="44">
        <f t="shared" si="8"/>
        <v>1909</v>
      </c>
      <c r="AA96" s="30"/>
      <c r="AB96" s="30"/>
      <c r="AC96" s="30"/>
      <c r="AD96" s="5"/>
      <c r="AE96" s="39"/>
      <c r="AF96" s="39">
        <v>52.33</v>
      </c>
      <c r="AG96" s="39">
        <v>21.966999999999999</v>
      </c>
      <c r="AH96" s="51">
        <v>0.42</v>
      </c>
      <c r="AI96" s="53">
        <v>55.4</v>
      </c>
    </row>
    <row r="97" spans="1:35" x14ac:dyDescent="0.3">
      <c r="A97" s="19" t="s">
        <v>32</v>
      </c>
      <c r="B97" s="56" t="str">
        <f t="shared" si="9"/>
        <v>bom</v>
      </c>
      <c r="C97" s="59">
        <v>5</v>
      </c>
      <c r="D97" s="27">
        <v>0</v>
      </c>
      <c r="E97" s="56">
        <v>0</v>
      </c>
      <c r="F97" s="56">
        <v>1</v>
      </c>
      <c r="G97" s="56">
        <v>0</v>
      </c>
      <c r="H97" s="56">
        <v>0</v>
      </c>
      <c r="I97" s="56">
        <v>0</v>
      </c>
      <c r="J97" s="56">
        <v>0</v>
      </c>
      <c r="K97" s="56">
        <v>1</v>
      </c>
      <c r="L97" s="56">
        <v>0</v>
      </c>
      <c r="M97" s="56">
        <v>0</v>
      </c>
      <c r="N97" s="56">
        <v>0</v>
      </c>
      <c r="O97" s="56">
        <v>0</v>
      </c>
      <c r="P97" s="3">
        <v>70</v>
      </c>
      <c r="Q97" s="3">
        <v>81</v>
      </c>
      <c r="R97" s="20">
        <v>3</v>
      </c>
      <c r="S97" s="20">
        <v>1</v>
      </c>
      <c r="T97" s="3">
        <v>119.3</v>
      </c>
      <c r="U97" s="3">
        <v>18</v>
      </c>
      <c r="V97" s="29">
        <v>46.576300000000003</v>
      </c>
      <c r="W97" s="29">
        <v>61.175699999999999</v>
      </c>
      <c r="X97" s="29">
        <v>27.497</v>
      </c>
      <c r="Y97" s="3">
        <v>1.304</v>
      </c>
      <c r="Z97" s="44">
        <f t="shared" si="8"/>
        <v>1304</v>
      </c>
      <c r="AA97" s="3">
        <v>4.9000000000000004</v>
      </c>
      <c r="AB97" s="3">
        <v>93</v>
      </c>
      <c r="AC97" s="3">
        <v>8</v>
      </c>
      <c r="AD97" s="5">
        <f t="shared" ref="AD97:AD106" si="12">AB97*AC97/405</f>
        <v>1.837037037037037</v>
      </c>
      <c r="AE97" s="39">
        <v>-3.5</v>
      </c>
      <c r="AF97" s="39">
        <v>42.94</v>
      </c>
      <c r="AG97" s="39">
        <v>21.023</v>
      </c>
      <c r="AH97" s="51">
        <v>0.49</v>
      </c>
      <c r="AI97" s="53">
        <v>55.6</v>
      </c>
    </row>
    <row r="98" spans="1:35" x14ac:dyDescent="0.3">
      <c r="A98" s="19" t="s">
        <v>68</v>
      </c>
      <c r="B98" s="27" t="str">
        <f t="shared" si="9"/>
        <v>ruim</v>
      </c>
      <c r="C98" s="59">
        <v>7</v>
      </c>
      <c r="D98" s="56">
        <v>0</v>
      </c>
      <c r="E98" s="27">
        <v>0</v>
      </c>
      <c r="F98" s="27">
        <v>0</v>
      </c>
      <c r="G98" s="27">
        <v>0</v>
      </c>
      <c r="H98" s="27">
        <v>0</v>
      </c>
      <c r="I98" s="27">
        <v>0</v>
      </c>
      <c r="J98" s="27">
        <v>0</v>
      </c>
      <c r="K98" s="27">
        <v>0</v>
      </c>
      <c r="L98" s="27">
        <v>0</v>
      </c>
      <c r="M98" s="27">
        <v>0</v>
      </c>
      <c r="N98" s="27">
        <v>0</v>
      </c>
      <c r="O98" s="27">
        <v>0</v>
      </c>
      <c r="P98" s="3">
        <v>86</v>
      </c>
      <c r="Q98" s="3">
        <v>30</v>
      </c>
      <c r="R98" s="20">
        <v>8</v>
      </c>
      <c r="S98" s="20">
        <v>8</v>
      </c>
      <c r="T98" s="3">
        <v>124.5</v>
      </c>
      <c r="U98" s="3">
        <v>20</v>
      </c>
      <c r="V98" s="29">
        <v>38.028500000000001</v>
      </c>
      <c r="W98" s="29">
        <v>51.985199999999999</v>
      </c>
      <c r="X98" s="29">
        <v>28.2319</v>
      </c>
      <c r="Y98" s="3">
        <v>1.4990000000000001</v>
      </c>
      <c r="Z98" s="44">
        <f t="shared" ref="Z98:Z106" si="13">Y98*1000</f>
        <v>1499</v>
      </c>
      <c r="AA98" s="3">
        <v>5.6</v>
      </c>
      <c r="AB98" s="3">
        <v>93</v>
      </c>
      <c r="AC98" s="3">
        <v>10</v>
      </c>
      <c r="AD98" s="5">
        <f t="shared" si="12"/>
        <v>2.2962962962962963</v>
      </c>
      <c r="AE98" s="39">
        <v>-8.6</v>
      </c>
      <c r="AF98" s="39">
        <v>39.92</v>
      </c>
      <c r="AG98" s="39">
        <v>15.416</v>
      </c>
      <c r="AH98" s="51">
        <v>0.38600000000000001</v>
      </c>
      <c r="AI98" s="53">
        <v>56.6</v>
      </c>
    </row>
    <row r="99" spans="1:35" x14ac:dyDescent="0.3">
      <c r="A99" s="19" t="s">
        <v>33</v>
      </c>
      <c r="B99" s="27" t="str">
        <f t="shared" si="9"/>
        <v>ruim</v>
      </c>
      <c r="C99" s="59">
        <v>9</v>
      </c>
      <c r="D99" s="56">
        <v>0</v>
      </c>
      <c r="E99" s="27">
        <v>0</v>
      </c>
      <c r="F99" s="27">
        <v>1</v>
      </c>
      <c r="G99" s="27">
        <v>0</v>
      </c>
      <c r="H99" s="27">
        <v>0</v>
      </c>
      <c r="I99" s="27">
        <v>0</v>
      </c>
      <c r="J99" s="27">
        <v>0</v>
      </c>
      <c r="K99" s="27">
        <v>1</v>
      </c>
      <c r="L99" s="27">
        <v>0</v>
      </c>
      <c r="M99" s="27">
        <v>0</v>
      </c>
      <c r="N99" s="27">
        <v>0</v>
      </c>
      <c r="O99" s="27">
        <v>0</v>
      </c>
      <c r="P99" s="3">
        <v>45</v>
      </c>
      <c r="Q99" s="3">
        <v>81</v>
      </c>
      <c r="R99" s="20">
        <v>6</v>
      </c>
      <c r="S99" s="20">
        <v>0</v>
      </c>
      <c r="T99" s="3">
        <v>103</v>
      </c>
      <c r="U99" s="3">
        <v>11</v>
      </c>
      <c r="V99" s="29">
        <v>35.012999999999998</v>
      </c>
      <c r="W99" s="29">
        <v>37.351999999999997</v>
      </c>
      <c r="X99" s="29">
        <v>20.817</v>
      </c>
      <c r="Y99" s="3">
        <v>1.43</v>
      </c>
      <c r="Z99" s="44">
        <f t="shared" si="13"/>
        <v>1430</v>
      </c>
      <c r="AA99" s="3">
        <v>6</v>
      </c>
      <c r="AB99" s="3">
        <v>108</v>
      </c>
      <c r="AC99" s="3">
        <v>14</v>
      </c>
      <c r="AD99" s="5">
        <f t="shared" si="12"/>
        <v>3.7333333333333334</v>
      </c>
      <c r="AE99" s="39">
        <v>3.5</v>
      </c>
      <c r="AF99" s="39">
        <v>31.94</v>
      </c>
      <c r="AG99" s="39">
        <v>13.587</v>
      </c>
      <c r="AH99" s="51">
        <v>0.42499999999999999</v>
      </c>
      <c r="AI99" s="53">
        <v>50.1</v>
      </c>
    </row>
    <row r="100" spans="1:35" x14ac:dyDescent="0.3">
      <c r="A100" s="19" t="s">
        <v>100</v>
      </c>
      <c r="B100" s="56" t="str">
        <f t="shared" si="9"/>
        <v>ruim</v>
      </c>
      <c r="C100" s="59">
        <v>7</v>
      </c>
      <c r="D100" s="27">
        <v>0</v>
      </c>
      <c r="E100" s="56">
        <v>1</v>
      </c>
      <c r="F100" s="56">
        <v>1</v>
      </c>
      <c r="G100" s="56">
        <v>1</v>
      </c>
      <c r="H100" s="56">
        <v>0</v>
      </c>
      <c r="I100" s="56">
        <v>1</v>
      </c>
      <c r="J100" s="56">
        <v>0</v>
      </c>
      <c r="K100" s="56">
        <v>1</v>
      </c>
      <c r="L100" s="56">
        <v>1</v>
      </c>
      <c r="M100" s="56">
        <v>1</v>
      </c>
      <c r="N100" s="56">
        <v>1</v>
      </c>
      <c r="O100" s="56">
        <v>1</v>
      </c>
      <c r="P100" s="3">
        <v>59</v>
      </c>
      <c r="Q100" s="3">
        <v>64</v>
      </c>
      <c r="R100" s="20">
        <v>0</v>
      </c>
      <c r="S100" s="20">
        <v>4</v>
      </c>
      <c r="T100" s="3">
        <v>108</v>
      </c>
      <c r="U100" s="3">
        <v>12</v>
      </c>
      <c r="V100" s="29">
        <v>38.116999999999997</v>
      </c>
      <c r="W100" s="29">
        <v>42.732999999999997</v>
      </c>
      <c r="X100" s="29">
        <v>20.401199999999999</v>
      </c>
      <c r="Y100" s="3">
        <v>1.373</v>
      </c>
      <c r="Z100" s="44">
        <f t="shared" si="13"/>
        <v>1373</v>
      </c>
      <c r="AA100" s="3">
        <v>5.8</v>
      </c>
      <c r="AB100" s="3">
        <v>97</v>
      </c>
      <c r="AC100" s="3">
        <v>10</v>
      </c>
      <c r="AD100" s="5">
        <f t="shared" si="12"/>
        <v>2.3950617283950617</v>
      </c>
      <c r="AE100" s="39">
        <v>-2.8</v>
      </c>
      <c r="AF100" s="39">
        <v>35.03</v>
      </c>
      <c r="AG100" s="39">
        <v>15.804</v>
      </c>
      <c r="AH100" s="51">
        <v>0.45100000000000001</v>
      </c>
      <c r="AI100" s="53">
        <v>51.6</v>
      </c>
    </row>
    <row r="101" spans="1:35" x14ac:dyDescent="0.3">
      <c r="A101" s="19" t="s">
        <v>101</v>
      </c>
      <c r="B101" s="27" t="str">
        <f t="shared" si="9"/>
        <v>bom</v>
      </c>
      <c r="C101" s="59">
        <v>4</v>
      </c>
      <c r="D101" s="27">
        <v>0</v>
      </c>
      <c r="E101" s="27">
        <v>0</v>
      </c>
      <c r="F101" s="27">
        <v>0</v>
      </c>
      <c r="G101" s="27">
        <v>0</v>
      </c>
      <c r="H101" s="27">
        <v>0</v>
      </c>
      <c r="I101" s="27">
        <v>0</v>
      </c>
      <c r="J101" s="27">
        <v>0</v>
      </c>
      <c r="K101" s="27">
        <v>0</v>
      </c>
      <c r="L101" s="27">
        <v>0</v>
      </c>
      <c r="M101" s="27">
        <v>0</v>
      </c>
      <c r="N101" s="27">
        <v>1</v>
      </c>
      <c r="O101" s="27">
        <v>0</v>
      </c>
      <c r="P101" s="3">
        <v>65</v>
      </c>
      <c r="Q101" s="3">
        <v>80</v>
      </c>
      <c r="R101" s="20">
        <v>2</v>
      </c>
      <c r="S101" s="20">
        <v>2</v>
      </c>
      <c r="T101" s="3">
        <v>102</v>
      </c>
      <c r="U101" s="3">
        <v>16</v>
      </c>
      <c r="V101" s="29">
        <v>34.387999999999998</v>
      </c>
      <c r="W101" s="29">
        <v>35.017000000000003</v>
      </c>
      <c r="X101" s="29">
        <v>17.716999999999999</v>
      </c>
      <c r="Y101" s="3">
        <v>0.78400000000000003</v>
      </c>
      <c r="Z101" s="44">
        <f t="shared" si="13"/>
        <v>784</v>
      </c>
      <c r="AA101" s="3">
        <v>5.8</v>
      </c>
      <c r="AB101" s="3">
        <v>75</v>
      </c>
      <c r="AC101" s="3">
        <v>6.2</v>
      </c>
      <c r="AD101" s="5">
        <f t="shared" si="12"/>
        <v>1.1481481481481481</v>
      </c>
      <c r="AE101" s="39">
        <v>-2.5</v>
      </c>
      <c r="AF101" s="39">
        <v>30</v>
      </c>
      <c r="AG101" s="39">
        <v>14.137</v>
      </c>
      <c r="AH101" s="51">
        <v>0.47099999999999997</v>
      </c>
      <c r="AI101" s="53">
        <v>48.7</v>
      </c>
    </row>
    <row r="102" spans="1:35" x14ac:dyDescent="0.3">
      <c r="A102" s="19" t="s">
        <v>69</v>
      </c>
      <c r="B102" s="27" t="str">
        <f t="shared" si="9"/>
        <v>ruim</v>
      </c>
      <c r="C102" s="59">
        <v>12</v>
      </c>
      <c r="D102" s="56">
        <v>0</v>
      </c>
      <c r="E102" s="27">
        <v>0</v>
      </c>
      <c r="F102" s="27">
        <v>1</v>
      </c>
      <c r="G102" s="27">
        <v>0</v>
      </c>
      <c r="H102" s="27">
        <v>0</v>
      </c>
      <c r="I102" s="27">
        <v>1</v>
      </c>
      <c r="J102" s="27">
        <v>1</v>
      </c>
      <c r="K102" s="27">
        <v>1</v>
      </c>
      <c r="L102" s="27">
        <v>0</v>
      </c>
      <c r="M102" s="27">
        <v>1</v>
      </c>
      <c r="N102" s="27">
        <v>0</v>
      </c>
      <c r="O102" s="27">
        <v>0</v>
      </c>
      <c r="P102" s="3">
        <v>51</v>
      </c>
      <c r="Q102" s="3">
        <v>10</v>
      </c>
      <c r="R102" s="20">
        <v>16</v>
      </c>
      <c r="S102" s="20">
        <v>9</v>
      </c>
      <c r="T102" s="3">
        <v>118.5</v>
      </c>
      <c r="U102" s="3">
        <v>18</v>
      </c>
      <c r="V102" s="29">
        <v>43.23</v>
      </c>
      <c r="W102" s="29">
        <v>49.966200000000001</v>
      </c>
      <c r="X102" s="29">
        <v>24.0959</v>
      </c>
      <c r="Y102" s="3">
        <v>1.1240000000000001</v>
      </c>
      <c r="Z102" s="44">
        <f t="shared" si="13"/>
        <v>1124</v>
      </c>
      <c r="AA102" s="3">
        <v>5.5</v>
      </c>
      <c r="AB102" s="3">
        <v>90</v>
      </c>
      <c r="AC102" s="3">
        <v>10</v>
      </c>
      <c r="AD102" s="5">
        <f t="shared" si="12"/>
        <v>2.2222222222222223</v>
      </c>
      <c r="AE102" s="39">
        <v>-7.1</v>
      </c>
      <c r="AF102" s="39">
        <v>40.56</v>
      </c>
      <c r="AG102" s="39">
        <v>17.733000000000001</v>
      </c>
      <c r="AH102" s="51">
        <v>0.437</v>
      </c>
      <c r="AI102" s="53">
        <v>52.4</v>
      </c>
    </row>
    <row r="103" spans="1:35" x14ac:dyDescent="0.3">
      <c r="A103" s="19" t="s">
        <v>102</v>
      </c>
      <c r="B103" s="56" t="str">
        <f t="shared" si="9"/>
        <v>ruim</v>
      </c>
      <c r="C103" s="59">
        <v>8</v>
      </c>
      <c r="D103" s="27">
        <v>0</v>
      </c>
      <c r="E103" s="56">
        <v>0</v>
      </c>
      <c r="F103" s="56">
        <v>0</v>
      </c>
      <c r="G103" s="56">
        <v>0</v>
      </c>
      <c r="H103" s="56">
        <v>0</v>
      </c>
      <c r="I103" s="56">
        <v>0</v>
      </c>
      <c r="J103" s="56">
        <v>1</v>
      </c>
      <c r="K103" s="56">
        <v>0</v>
      </c>
      <c r="L103" s="56">
        <v>0</v>
      </c>
      <c r="M103" s="56">
        <v>0</v>
      </c>
      <c r="N103" s="56">
        <v>0</v>
      </c>
      <c r="O103" s="56">
        <v>0</v>
      </c>
      <c r="P103" s="3">
        <v>64</v>
      </c>
      <c r="Q103" s="3">
        <v>90</v>
      </c>
      <c r="R103" s="20">
        <v>2</v>
      </c>
      <c r="S103" s="20">
        <v>3</v>
      </c>
      <c r="T103" s="3">
        <v>102</v>
      </c>
      <c r="U103" s="3">
        <v>18</v>
      </c>
      <c r="V103" s="29">
        <v>39.222900000000003</v>
      </c>
      <c r="W103" s="29">
        <v>36.127200000000002</v>
      </c>
      <c r="X103" s="29">
        <v>17.946300000000001</v>
      </c>
      <c r="Y103" s="3">
        <v>1.133</v>
      </c>
      <c r="Z103" s="44">
        <f t="shared" si="13"/>
        <v>1133</v>
      </c>
      <c r="AA103" s="3">
        <v>6.4</v>
      </c>
      <c r="AB103" s="3">
        <v>125</v>
      </c>
      <c r="AC103" s="3">
        <v>12</v>
      </c>
      <c r="AD103" s="5">
        <f t="shared" si="12"/>
        <v>3.7037037037037037</v>
      </c>
      <c r="AE103" s="39">
        <v>-1.1000000000000001</v>
      </c>
      <c r="AF103" s="39">
        <v>34.22</v>
      </c>
      <c r="AG103" s="39">
        <v>16.763000000000002</v>
      </c>
      <c r="AH103" s="51">
        <v>0.49</v>
      </c>
      <c r="AI103" s="53">
        <v>46.9</v>
      </c>
    </row>
    <row r="104" spans="1:35" x14ac:dyDescent="0.3">
      <c r="A104" s="19" t="s">
        <v>34</v>
      </c>
      <c r="B104" s="27" t="str">
        <f t="shared" si="9"/>
        <v>bom</v>
      </c>
      <c r="C104" s="59">
        <v>2</v>
      </c>
      <c r="D104" s="27">
        <v>0</v>
      </c>
      <c r="E104" s="27">
        <v>0</v>
      </c>
      <c r="F104" s="27">
        <v>0</v>
      </c>
      <c r="G104" s="27">
        <v>1</v>
      </c>
      <c r="H104" s="27">
        <v>0</v>
      </c>
      <c r="I104" s="27">
        <v>0</v>
      </c>
      <c r="J104" s="27">
        <v>1</v>
      </c>
      <c r="K104" s="27">
        <v>0</v>
      </c>
      <c r="L104" s="27">
        <v>0</v>
      </c>
      <c r="M104" s="27">
        <v>0</v>
      </c>
      <c r="N104" s="27">
        <v>1</v>
      </c>
      <c r="O104" s="27">
        <v>1</v>
      </c>
      <c r="P104" s="3">
        <v>88</v>
      </c>
      <c r="Q104" s="3">
        <v>93</v>
      </c>
      <c r="R104" s="20">
        <v>4</v>
      </c>
      <c r="S104" s="20">
        <v>1</v>
      </c>
      <c r="T104" s="3">
        <v>106</v>
      </c>
      <c r="U104" s="3">
        <v>15</v>
      </c>
      <c r="V104" s="29">
        <v>36.866900000000001</v>
      </c>
      <c r="W104" s="29">
        <v>36.11</v>
      </c>
      <c r="X104" s="29">
        <v>16.494900000000001</v>
      </c>
      <c r="Y104" s="3">
        <v>0.67500000000000004</v>
      </c>
      <c r="Z104" s="44">
        <f t="shared" si="13"/>
        <v>675</v>
      </c>
      <c r="AA104" s="3">
        <v>4.8</v>
      </c>
      <c r="AB104" s="3">
        <v>84</v>
      </c>
      <c r="AC104" s="3">
        <v>6</v>
      </c>
      <c r="AD104" s="5">
        <f t="shared" si="12"/>
        <v>1.2444444444444445</v>
      </c>
      <c r="AE104" s="39">
        <v>-1.5</v>
      </c>
      <c r="AF104" s="39">
        <v>32.47</v>
      </c>
      <c r="AG104" s="39">
        <v>14.936999999999999</v>
      </c>
      <c r="AH104" s="51">
        <v>0.46</v>
      </c>
      <c r="AI104" s="53">
        <v>48.3</v>
      </c>
    </row>
    <row r="105" spans="1:35" x14ac:dyDescent="0.3">
      <c r="A105" s="19" t="s">
        <v>103</v>
      </c>
      <c r="B105" s="27" t="str">
        <f t="shared" si="9"/>
        <v>ruim</v>
      </c>
      <c r="C105" s="59">
        <v>6</v>
      </c>
      <c r="D105" s="56">
        <v>0</v>
      </c>
      <c r="E105" s="27">
        <v>0</v>
      </c>
      <c r="F105" s="27">
        <v>0</v>
      </c>
      <c r="G105" s="27">
        <v>0</v>
      </c>
      <c r="H105" s="27">
        <v>0</v>
      </c>
      <c r="I105" s="27">
        <v>0</v>
      </c>
      <c r="J105" s="27">
        <v>1</v>
      </c>
      <c r="K105" s="27">
        <v>0</v>
      </c>
      <c r="L105" s="27">
        <v>0</v>
      </c>
      <c r="M105" s="27">
        <v>0</v>
      </c>
      <c r="N105" s="27">
        <v>0</v>
      </c>
      <c r="O105" s="27">
        <v>0</v>
      </c>
      <c r="P105" s="3">
        <v>90</v>
      </c>
      <c r="Q105" s="3">
        <v>61</v>
      </c>
      <c r="R105" s="20">
        <v>7</v>
      </c>
      <c r="S105" s="20">
        <v>2</v>
      </c>
      <c r="T105" s="27">
        <v>102</v>
      </c>
      <c r="U105" s="24">
        <v>7</v>
      </c>
      <c r="V105" s="28">
        <v>34.856999999999999</v>
      </c>
      <c r="W105" s="28">
        <v>39.470999999999997</v>
      </c>
      <c r="X105" s="28">
        <v>17.768999999999998</v>
      </c>
      <c r="Y105" s="27">
        <v>0.67100000000000004</v>
      </c>
      <c r="Z105" s="44">
        <f t="shared" si="13"/>
        <v>671</v>
      </c>
      <c r="AA105" s="3">
        <v>5.3</v>
      </c>
      <c r="AB105" s="3">
        <v>82</v>
      </c>
      <c r="AC105" s="3">
        <v>10.4</v>
      </c>
      <c r="AD105" s="5">
        <f t="shared" si="12"/>
        <v>2.105679012345679</v>
      </c>
      <c r="AE105" s="39">
        <v>-2.7</v>
      </c>
      <c r="AF105" s="39">
        <v>31.4</v>
      </c>
      <c r="AG105" s="39">
        <v>14.752000000000001</v>
      </c>
      <c r="AH105" s="51">
        <v>0.47</v>
      </c>
      <c r="AI105" s="53">
        <v>52</v>
      </c>
    </row>
    <row r="106" spans="1:35" x14ac:dyDescent="0.3">
      <c r="A106" s="19" t="s">
        <v>104</v>
      </c>
      <c r="B106" s="56" t="str">
        <f t="shared" si="9"/>
        <v>ruim</v>
      </c>
      <c r="C106" s="59">
        <v>7</v>
      </c>
      <c r="D106" s="56">
        <v>0</v>
      </c>
      <c r="E106" s="56">
        <v>0</v>
      </c>
      <c r="F106" s="56">
        <v>1</v>
      </c>
      <c r="G106" s="56">
        <v>1</v>
      </c>
      <c r="H106" s="56">
        <v>0</v>
      </c>
      <c r="I106" s="56">
        <v>0</v>
      </c>
      <c r="J106" s="56">
        <v>0</v>
      </c>
      <c r="K106" s="56">
        <v>1</v>
      </c>
      <c r="L106" s="56">
        <v>0</v>
      </c>
      <c r="M106" s="56">
        <v>0</v>
      </c>
      <c r="N106" s="56">
        <v>0</v>
      </c>
      <c r="O106" s="56">
        <v>1</v>
      </c>
      <c r="P106" s="3">
        <v>61</v>
      </c>
      <c r="Q106" s="3">
        <v>92</v>
      </c>
      <c r="R106" s="20">
        <v>4</v>
      </c>
      <c r="S106" s="20">
        <v>3</v>
      </c>
      <c r="T106" s="3">
        <v>117.5</v>
      </c>
      <c r="U106" s="5">
        <v>17</v>
      </c>
      <c r="V106" s="3">
        <v>38.124000000000002</v>
      </c>
      <c r="W106" s="3">
        <v>45.407499999999999</v>
      </c>
      <c r="X106" s="29">
        <v>24.306999999999999</v>
      </c>
      <c r="Y106" s="3">
        <v>1.3009999999999999</v>
      </c>
      <c r="Z106" s="44">
        <f t="shared" si="13"/>
        <v>1301</v>
      </c>
      <c r="AA106" s="3">
        <v>5.3</v>
      </c>
      <c r="AB106" s="3">
        <v>94</v>
      </c>
      <c r="AC106" s="3">
        <v>12.2</v>
      </c>
      <c r="AD106" s="5">
        <f t="shared" si="12"/>
        <v>2.8316049382716049</v>
      </c>
      <c r="AE106" s="39">
        <v>-3.8</v>
      </c>
      <c r="AF106" s="39">
        <v>37.5</v>
      </c>
      <c r="AG106" s="39">
        <v>15.356999999999999</v>
      </c>
      <c r="AH106" s="51">
        <v>0.41</v>
      </c>
      <c r="AI106" s="53">
        <v>53.1</v>
      </c>
    </row>
    <row r="107" spans="1:35" x14ac:dyDescent="0.3">
      <c r="C107" s="60"/>
      <c r="D107" s="57"/>
      <c r="R107" s="7"/>
      <c r="S107" s="7"/>
      <c r="T107" s="8"/>
      <c r="U107" s="8"/>
      <c r="V107" s="8"/>
      <c r="W107" s="8"/>
      <c r="X107" s="8"/>
      <c r="Y107" s="8"/>
      <c r="Z107" s="9"/>
      <c r="AA107" s="8"/>
      <c r="AB107" s="8"/>
      <c r="AC107" s="8"/>
      <c r="AF107" s="2"/>
      <c r="AG107" s="4"/>
    </row>
    <row r="108" spans="1:35" x14ac:dyDescent="0.3">
      <c r="C108" s="60"/>
      <c r="D108" s="57"/>
      <c r="R108" s="7"/>
      <c r="S108" s="7"/>
      <c r="T108" s="8"/>
      <c r="U108" s="8"/>
      <c r="V108" s="8"/>
      <c r="W108" s="8"/>
      <c r="X108" s="8"/>
      <c r="Y108" s="8"/>
      <c r="Z108" s="9"/>
      <c r="AA108" s="8"/>
      <c r="AB108" s="8"/>
      <c r="AC108" s="8"/>
      <c r="AF108" s="2"/>
      <c r="AG108" s="4"/>
    </row>
    <row r="109" spans="1:35" x14ac:dyDescent="0.3">
      <c r="D109" s="57"/>
      <c r="R109" s="10"/>
      <c r="S109" s="10"/>
      <c r="Z109" s="11"/>
    </row>
    <row r="110" spans="1:35" x14ac:dyDescent="0.3">
      <c r="D110" s="57"/>
      <c r="R110" s="10"/>
      <c r="S110" s="10"/>
      <c r="Z110" s="11"/>
    </row>
    <row r="111" spans="1:35" x14ac:dyDescent="0.3">
      <c r="D111" s="57"/>
      <c r="R111" s="10"/>
      <c r="S111" s="10"/>
      <c r="Z111" s="11"/>
    </row>
    <row r="112" spans="1:35" x14ac:dyDescent="0.3">
      <c r="D112" s="57"/>
      <c r="R112" s="10"/>
      <c r="S112" s="10"/>
      <c r="Z112" s="11"/>
    </row>
    <row r="113" spans="4:26" x14ac:dyDescent="0.3">
      <c r="D113" s="57"/>
      <c r="R113" s="10"/>
      <c r="S113" s="10"/>
      <c r="Z113" s="11"/>
    </row>
    <row r="114" spans="4:26" x14ac:dyDescent="0.3">
      <c r="D114" s="57"/>
      <c r="R114" s="10"/>
      <c r="S114" s="10"/>
      <c r="Z114" s="11"/>
    </row>
    <row r="115" spans="4:26" x14ac:dyDescent="0.3">
      <c r="D115" s="57"/>
      <c r="R115" s="10"/>
      <c r="S115" s="10"/>
      <c r="Z115" s="11"/>
    </row>
    <row r="116" spans="4:26" x14ac:dyDescent="0.3">
      <c r="D116" s="57"/>
      <c r="R116" s="10"/>
      <c r="S116" s="10"/>
      <c r="Z116" s="11"/>
    </row>
    <row r="117" spans="4:26" x14ac:dyDescent="0.3">
      <c r="D117" s="57"/>
      <c r="R117" s="10"/>
      <c r="S117" s="10"/>
      <c r="Z117" s="11"/>
    </row>
    <row r="118" spans="4:26" x14ac:dyDescent="0.3">
      <c r="D118" s="57"/>
      <c r="R118" s="10"/>
      <c r="S118" s="10"/>
      <c r="Z118" s="11"/>
    </row>
    <row r="119" spans="4:26" x14ac:dyDescent="0.3">
      <c r="D119" s="57"/>
      <c r="R119" s="10"/>
      <c r="S119" s="10"/>
      <c r="Z119" s="11"/>
    </row>
    <row r="120" spans="4:26" x14ac:dyDescent="0.3">
      <c r="D120" s="57"/>
      <c r="R120" s="10"/>
      <c r="S120" s="10"/>
      <c r="Z120" s="11"/>
    </row>
    <row r="121" spans="4:26" x14ac:dyDescent="0.3">
      <c r="D121" s="57"/>
      <c r="R121" s="10"/>
      <c r="S121" s="10"/>
      <c r="Z121" s="11"/>
    </row>
    <row r="122" spans="4:26" x14ac:dyDescent="0.3">
      <c r="D122" s="57"/>
      <c r="R122" s="10"/>
      <c r="S122" s="10"/>
      <c r="Z122" s="11"/>
    </row>
    <row r="123" spans="4:26" x14ac:dyDescent="0.3">
      <c r="D123" s="57"/>
      <c r="R123" s="10"/>
      <c r="S123" s="10"/>
      <c r="Z123" s="11"/>
    </row>
    <row r="124" spans="4:26" x14ac:dyDescent="0.3">
      <c r="D124" s="57"/>
      <c r="R124" s="10"/>
      <c r="S124" s="10"/>
      <c r="Z124" s="11"/>
    </row>
    <row r="125" spans="4:26" x14ac:dyDescent="0.3">
      <c r="D125" s="57"/>
      <c r="R125" s="10"/>
      <c r="S125" s="10"/>
      <c r="Z125" s="11"/>
    </row>
    <row r="126" spans="4:26" x14ac:dyDescent="0.3">
      <c r="D126" s="57"/>
      <c r="R126" s="10"/>
      <c r="S126" s="10"/>
      <c r="Z126" s="11"/>
    </row>
    <row r="127" spans="4:26" x14ac:dyDescent="0.3">
      <c r="D127" s="57"/>
      <c r="R127" s="10"/>
      <c r="S127" s="10"/>
      <c r="Z127" s="11"/>
    </row>
    <row r="128" spans="4:26" x14ac:dyDescent="0.3">
      <c r="D128" s="57"/>
      <c r="R128" s="10"/>
      <c r="S128" s="10"/>
      <c r="Z128" s="11"/>
    </row>
    <row r="129" spans="4:26" x14ac:dyDescent="0.3">
      <c r="D129" s="57"/>
      <c r="R129" s="10"/>
      <c r="S129" s="10"/>
      <c r="Z129" s="11"/>
    </row>
    <row r="130" spans="4:26" x14ac:dyDescent="0.3">
      <c r="D130" s="57"/>
      <c r="R130" s="10"/>
      <c r="S130" s="10"/>
      <c r="Z130" s="11"/>
    </row>
    <row r="131" spans="4:26" x14ac:dyDescent="0.3">
      <c r="D131" s="57"/>
      <c r="R131" s="10"/>
      <c r="S131" s="10"/>
      <c r="Z131" s="11"/>
    </row>
    <row r="132" spans="4:26" x14ac:dyDescent="0.3">
      <c r="D132" s="57"/>
      <c r="R132" s="10"/>
      <c r="S132" s="10"/>
      <c r="Z132" s="11"/>
    </row>
    <row r="133" spans="4:26" x14ac:dyDescent="0.3">
      <c r="D133" s="57"/>
      <c r="R133" s="10"/>
      <c r="S133" s="10"/>
      <c r="Z133" s="11"/>
    </row>
    <row r="134" spans="4:26" x14ac:dyDescent="0.3">
      <c r="D134" s="57"/>
      <c r="R134" s="10"/>
      <c r="S134" s="10"/>
      <c r="Z134" s="11"/>
    </row>
    <row r="135" spans="4:26" x14ac:dyDescent="0.3">
      <c r="D135" s="57"/>
      <c r="R135" s="10"/>
      <c r="S135" s="10"/>
      <c r="Z135" s="11"/>
    </row>
    <row r="136" spans="4:26" x14ac:dyDescent="0.3">
      <c r="D136" s="57"/>
      <c r="R136" s="10"/>
      <c r="S136" s="10"/>
      <c r="Z136" s="11"/>
    </row>
    <row r="137" spans="4:26" x14ac:dyDescent="0.3">
      <c r="D137" s="57"/>
      <c r="R137" s="10"/>
      <c r="S137" s="10"/>
      <c r="Z137" s="11"/>
    </row>
    <row r="138" spans="4:26" x14ac:dyDescent="0.3">
      <c r="D138" s="57"/>
      <c r="R138" s="10"/>
      <c r="S138" s="10"/>
      <c r="Z138" s="11"/>
    </row>
    <row r="139" spans="4:26" x14ac:dyDescent="0.3">
      <c r="D139" s="57"/>
      <c r="R139" s="10"/>
      <c r="S139" s="10"/>
      <c r="Z139" s="11"/>
    </row>
    <row r="140" spans="4:26" x14ac:dyDescent="0.3">
      <c r="D140" s="57"/>
      <c r="R140" s="10"/>
      <c r="S140" s="10"/>
      <c r="Z140" s="11"/>
    </row>
    <row r="141" spans="4:26" x14ac:dyDescent="0.3">
      <c r="D141" s="57"/>
      <c r="R141" s="10"/>
      <c r="S141" s="10"/>
      <c r="Z141" s="11"/>
    </row>
    <row r="142" spans="4:26" x14ac:dyDescent="0.3">
      <c r="D142" s="57"/>
      <c r="R142" s="10"/>
      <c r="S142" s="10"/>
      <c r="Z142" s="11"/>
    </row>
    <row r="143" spans="4:26" x14ac:dyDescent="0.3">
      <c r="D143" s="57"/>
      <c r="R143" s="10"/>
      <c r="S143" s="10"/>
      <c r="Z143" s="11"/>
    </row>
    <row r="144" spans="4:26" x14ac:dyDescent="0.3">
      <c r="D144" s="57"/>
      <c r="R144" s="10"/>
      <c r="S144" s="10"/>
      <c r="Z144" s="11"/>
    </row>
    <row r="145" spans="4:26" x14ac:dyDescent="0.3">
      <c r="D145" s="57"/>
      <c r="R145" s="10"/>
      <c r="S145" s="10"/>
      <c r="Z145" s="11"/>
    </row>
    <row r="146" spans="4:26" x14ac:dyDescent="0.3">
      <c r="D146" s="57"/>
      <c r="R146" s="10"/>
      <c r="S146" s="10"/>
      <c r="Z146" s="11"/>
    </row>
    <row r="147" spans="4:26" x14ac:dyDescent="0.3">
      <c r="D147" s="57"/>
      <c r="R147" s="10"/>
      <c r="S147" s="10"/>
      <c r="Z147" s="11"/>
    </row>
    <row r="148" spans="4:26" x14ac:dyDescent="0.3">
      <c r="D148" s="57"/>
      <c r="R148" s="10"/>
      <c r="S148" s="10"/>
      <c r="Z148" s="11"/>
    </row>
    <row r="149" spans="4:26" x14ac:dyDescent="0.3">
      <c r="D149" s="57"/>
      <c r="R149" s="10"/>
      <c r="S149" s="10"/>
      <c r="Z149" s="11"/>
    </row>
    <row r="150" spans="4:26" x14ac:dyDescent="0.3">
      <c r="D150" s="57"/>
      <c r="R150" s="10"/>
      <c r="S150" s="10"/>
      <c r="Z150" s="11"/>
    </row>
    <row r="151" spans="4:26" x14ac:dyDescent="0.3">
      <c r="D151" s="57"/>
      <c r="R151" s="10"/>
      <c r="S151" s="10"/>
      <c r="Z151" s="11"/>
    </row>
    <row r="152" spans="4:26" x14ac:dyDescent="0.3">
      <c r="D152" s="57"/>
      <c r="R152" s="10"/>
      <c r="S152" s="10"/>
      <c r="Z152" s="11"/>
    </row>
    <row r="153" spans="4:26" x14ac:dyDescent="0.3">
      <c r="D153" s="57"/>
      <c r="R153" s="10"/>
      <c r="S153" s="10"/>
      <c r="Z153" s="11"/>
    </row>
    <row r="154" spans="4:26" x14ac:dyDescent="0.3">
      <c r="D154" s="57"/>
      <c r="R154" s="10"/>
      <c r="S154" s="10"/>
      <c r="Z154" s="11"/>
    </row>
    <row r="155" spans="4:26" x14ac:dyDescent="0.3">
      <c r="D155" s="57"/>
      <c r="R155" s="10"/>
      <c r="S155" s="10"/>
      <c r="Z155" s="11"/>
    </row>
    <row r="156" spans="4:26" x14ac:dyDescent="0.3">
      <c r="D156" s="57"/>
      <c r="R156" s="10"/>
      <c r="S156" s="10"/>
      <c r="Z156" s="11"/>
    </row>
    <row r="157" spans="4:26" x14ac:dyDescent="0.3">
      <c r="D157" s="57"/>
      <c r="R157" s="10"/>
      <c r="S157" s="10"/>
      <c r="Z157" s="11"/>
    </row>
    <row r="158" spans="4:26" x14ac:dyDescent="0.3">
      <c r="D158" s="57"/>
      <c r="R158" s="10"/>
      <c r="S158" s="10"/>
      <c r="Z158" s="11"/>
    </row>
    <row r="159" spans="4:26" x14ac:dyDescent="0.3">
      <c r="D159" s="57"/>
      <c r="R159" s="10"/>
      <c r="S159" s="10"/>
      <c r="Z159" s="11"/>
    </row>
    <row r="160" spans="4:26" x14ac:dyDescent="0.3">
      <c r="D160" s="57"/>
      <c r="R160" s="10"/>
      <c r="S160" s="10"/>
      <c r="Z160" s="11"/>
    </row>
    <row r="161" spans="4:26" x14ac:dyDescent="0.3">
      <c r="D161" s="57"/>
      <c r="R161" s="10"/>
      <c r="S161" s="10"/>
      <c r="Z161" s="11"/>
    </row>
    <row r="162" spans="4:26" x14ac:dyDescent="0.3">
      <c r="D162" s="57"/>
      <c r="R162" s="10"/>
      <c r="S162" s="10"/>
      <c r="Z162" s="11"/>
    </row>
    <row r="163" spans="4:26" x14ac:dyDescent="0.3">
      <c r="D163" s="57"/>
      <c r="R163" s="10"/>
      <c r="S163" s="10"/>
      <c r="Z163" s="11"/>
    </row>
    <row r="164" spans="4:26" x14ac:dyDescent="0.3">
      <c r="D164" s="57"/>
      <c r="R164" s="10"/>
      <c r="S164" s="10"/>
      <c r="Z164" s="11"/>
    </row>
    <row r="165" spans="4:26" x14ac:dyDescent="0.3">
      <c r="D165" s="57"/>
      <c r="R165" s="10"/>
      <c r="S165" s="10"/>
      <c r="Z165" s="11"/>
    </row>
    <row r="166" spans="4:26" x14ac:dyDescent="0.3">
      <c r="D166" s="57"/>
      <c r="R166" s="10"/>
      <c r="S166" s="10"/>
      <c r="Z166" s="11"/>
    </row>
    <row r="167" spans="4:26" x14ac:dyDescent="0.3">
      <c r="D167" s="57"/>
      <c r="R167" s="10"/>
      <c r="S167" s="10"/>
      <c r="Z167" s="11"/>
    </row>
    <row r="168" spans="4:26" x14ac:dyDescent="0.3">
      <c r="D168" s="57"/>
      <c r="R168" s="10"/>
      <c r="S168" s="10"/>
      <c r="Z168" s="11"/>
    </row>
    <row r="169" spans="4:26" x14ac:dyDescent="0.3">
      <c r="D169" s="57"/>
      <c r="R169" s="10"/>
      <c r="S169" s="10"/>
      <c r="Z169" s="11"/>
    </row>
    <row r="170" spans="4:26" x14ac:dyDescent="0.3">
      <c r="D170" s="57"/>
      <c r="R170" s="10"/>
      <c r="S170" s="10"/>
      <c r="Z170" s="11"/>
    </row>
    <row r="171" spans="4:26" x14ac:dyDescent="0.3">
      <c r="D171" s="57"/>
      <c r="R171" s="10"/>
      <c r="S171" s="10"/>
      <c r="Z171" s="11"/>
    </row>
    <row r="172" spans="4:26" x14ac:dyDescent="0.3">
      <c r="D172" s="57"/>
      <c r="R172" s="10"/>
      <c r="S172" s="10"/>
      <c r="Z172" s="11"/>
    </row>
    <row r="173" spans="4:26" x14ac:dyDescent="0.3">
      <c r="D173" s="57"/>
      <c r="R173" s="10"/>
      <c r="S173" s="10"/>
      <c r="Z173" s="11"/>
    </row>
    <row r="174" spans="4:26" x14ac:dyDescent="0.3">
      <c r="D174" s="57"/>
      <c r="R174" s="10"/>
      <c r="S174" s="10"/>
      <c r="Z174" s="11"/>
    </row>
    <row r="175" spans="4:26" x14ac:dyDescent="0.3">
      <c r="D175" s="57"/>
      <c r="R175" s="10"/>
      <c r="S175" s="10"/>
      <c r="Z175" s="11"/>
    </row>
    <row r="176" spans="4:26" x14ac:dyDescent="0.3">
      <c r="D176" s="57"/>
      <c r="R176" s="10"/>
      <c r="S176" s="10"/>
      <c r="Z176" s="11"/>
    </row>
    <row r="177" spans="4:26" x14ac:dyDescent="0.3">
      <c r="D177" s="57"/>
      <c r="R177" s="10"/>
      <c r="S177" s="10"/>
      <c r="Z177" s="11"/>
    </row>
    <row r="178" spans="4:26" x14ac:dyDescent="0.3">
      <c r="D178" s="57"/>
      <c r="R178" s="10"/>
      <c r="S178" s="10"/>
      <c r="Z178" s="11"/>
    </row>
    <row r="179" spans="4:26" x14ac:dyDescent="0.3">
      <c r="D179" s="57"/>
      <c r="R179" s="10"/>
      <c r="S179" s="10"/>
      <c r="Z179" s="11"/>
    </row>
    <row r="180" spans="4:26" x14ac:dyDescent="0.3">
      <c r="D180" s="57"/>
      <c r="R180" s="10"/>
      <c r="S180" s="10"/>
      <c r="Z180" s="11"/>
    </row>
    <row r="181" spans="4:26" x14ac:dyDescent="0.3">
      <c r="D181" s="57"/>
      <c r="R181" s="10"/>
      <c r="S181" s="10"/>
      <c r="Z181" s="11"/>
    </row>
    <row r="182" spans="4:26" x14ac:dyDescent="0.3">
      <c r="D182" s="57"/>
      <c r="R182" s="10"/>
      <c r="S182" s="10"/>
      <c r="Z182" s="11"/>
    </row>
    <row r="183" spans="4:26" x14ac:dyDescent="0.3">
      <c r="D183" s="57"/>
      <c r="R183" s="10"/>
      <c r="S183" s="10"/>
      <c r="Z183" s="11"/>
    </row>
    <row r="184" spans="4:26" x14ac:dyDescent="0.3">
      <c r="D184" s="57"/>
      <c r="R184" s="10"/>
      <c r="S184" s="10"/>
      <c r="Z184" s="11"/>
    </row>
    <row r="185" spans="4:26" x14ac:dyDescent="0.3">
      <c r="D185" s="57"/>
      <c r="R185" s="10"/>
      <c r="S185" s="10"/>
      <c r="Z185" s="11"/>
    </row>
    <row r="186" spans="4:26" x14ac:dyDescent="0.3">
      <c r="D186" s="57"/>
      <c r="R186" s="10"/>
      <c r="S186" s="10"/>
      <c r="Z186" s="11"/>
    </row>
    <row r="187" spans="4:26" x14ac:dyDescent="0.3">
      <c r="D187" s="57"/>
      <c r="R187" s="10"/>
      <c r="S187" s="10"/>
      <c r="Z187" s="11"/>
    </row>
    <row r="188" spans="4:26" x14ac:dyDescent="0.3">
      <c r="D188" s="57"/>
      <c r="R188" s="10"/>
      <c r="S188" s="10"/>
      <c r="Z188" s="11"/>
    </row>
    <row r="189" spans="4:26" x14ac:dyDescent="0.3">
      <c r="D189" s="57"/>
      <c r="R189" s="10"/>
      <c r="S189" s="10"/>
      <c r="Z189" s="11"/>
    </row>
    <row r="190" spans="4:26" x14ac:dyDescent="0.3">
      <c r="D190" s="57"/>
      <c r="R190" s="10"/>
      <c r="S190" s="10"/>
      <c r="Z190" s="11"/>
    </row>
    <row r="191" spans="4:26" x14ac:dyDescent="0.3">
      <c r="D191" s="57"/>
      <c r="R191" s="10"/>
      <c r="S191" s="10"/>
      <c r="Z191" s="11"/>
    </row>
    <row r="192" spans="4:26" x14ac:dyDescent="0.3">
      <c r="D192" s="57"/>
      <c r="R192" s="10"/>
      <c r="S192" s="10"/>
      <c r="Z192" s="11"/>
    </row>
    <row r="193" spans="4:26" x14ac:dyDescent="0.3">
      <c r="D193" s="57"/>
      <c r="R193" s="10"/>
      <c r="S193" s="10"/>
      <c r="Z193" s="11"/>
    </row>
    <row r="194" spans="4:26" x14ac:dyDescent="0.3">
      <c r="D194" s="57"/>
      <c r="R194" s="10"/>
      <c r="S194" s="10"/>
      <c r="Z194" s="11"/>
    </row>
    <row r="195" spans="4:26" x14ac:dyDescent="0.3">
      <c r="D195" s="57"/>
      <c r="R195" s="10"/>
      <c r="S195" s="10"/>
      <c r="Z195" s="11"/>
    </row>
    <row r="196" spans="4:26" x14ac:dyDescent="0.3">
      <c r="D196" s="57"/>
      <c r="R196" s="10"/>
      <c r="S196" s="10"/>
      <c r="Z196" s="11"/>
    </row>
    <row r="197" spans="4:26" x14ac:dyDescent="0.3">
      <c r="D197" s="57"/>
      <c r="R197" s="10"/>
      <c r="S197" s="10"/>
      <c r="Z197" s="11"/>
    </row>
    <row r="198" spans="4:26" x14ac:dyDescent="0.3">
      <c r="D198" s="57"/>
      <c r="R198" s="10"/>
      <c r="S198" s="10"/>
      <c r="Z198" s="11"/>
    </row>
    <row r="199" spans="4:26" x14ac:dyDescent="0.3">
      <c r="D199" s="57"/>
      <c r="R199" s="10"/>
      <c r="S199" s="10"/>
      <c r="Z199" s="11"/>
    </row>
    <row r="200" spans="4:26" x14ac:dyDescent="0.3">
      <c r="D200" s="57"/>
      <c r="R200" s="10"/>
      <c r="S200" s="10"/>
      <c r="Z200" s="11"/>
    </row>
    <row r="201" spans="4:26" x14ac:dyDescent="0.3">
      <c r="D201" s="57"/>
      <c r="R201" s="10"/>
      <c r="S201" s="10"/>
      <c r="Z201" s="11"/>
    </row>
    <row r="202" spans="4:26" x14ac:dyDescent="0.3">
      <c r="D202" s="57"/>
      <c r="R202" s="10"/>
      <c r="S202" s="10"/>
      <c r="Z202" s="11"/>
    </row>
    <row r="203" spans="4:26" x14ac:dyDescent="0.3">
      <c r="D203" s="57"/>
      <c r="R203" s="10"/>
      <c r="S203" s="10"/>
      <c r="Z203" s="11"/>
    </row>
    <row r="204" spans="4:26" x14ac:dyDescent="0.3">
      <c r="D204" s="57"/>
      <c r="R204" s="10"/>
      <c r="S204" s="10"/>
      <c r="Z204" s="11"/>
    </row>
    <row r="205" spans="4:26" x14ac:dyDescent="0.3">
      <c r="D205" s="57"/>
      <c r="R205" s="10"/>
      <c r="S205" s="10"/>
      <c r="Z205" s="11"/>
    </row>
    <row r="206" spans="4:26" x14ac:dyDescent="0.3">
      <c r="D206" s="57"/>
      <c r="R206" s="10"/>
      <c r="S206" s="10"/>
      <c r="Z206" s="11"/>
    </row>
    <row r="207" spans="4:26" x14ac:dyDescent="0.3">
      <c r="D207" s="57"/>
      <c r="R207" s="10"/>
      <c r="S207" s="10"/>
      <c r="Z207" s="11"/>
    </row>
    <row r="208" spans="4:26" x14ac:dyDescent="0.3">
      <c r="D208" s="57"/>
      <c r="R208" s="10"/>
      <c r="S208" s="10"/>
      <c r="Z208" s="11"/>
    </row>
    <row r="209" spans="4:26" x14ac:dyDescent="0.3">
      <c r="D209" s="57"/>
      <c r="R209" s="10"/>
      <c r="S209" s="10"/>
      <c r="Z209" s="11"/>
    </row>
    <row r="210" spans="4:26" x14ac:dyDescent="0.3">
      <c r="D210" s="57"/>
      <c r="R210" s="10"/>
      <c r="S210" s="10"/>
      <c r="Z210" s="11"/>
    </row>
    <row r="211" spans="4:26" x14ac:dyDescent="0.3">
      <c r="D211" s="57"/>
      <c r="R211" s="10"/>
      <c r="S211" s="10"/>
      <c r="Z211" s="11"/>
    </row>
    <row r="212" spans="4:26" x14ac:dyDescent="0.3">
      <c r="D212" s="57"/>
      <c r="R212" s="10"/>
      <c r="S212" s="10"/>
      <c r="Z212" s="11"/>
    </row>
    <row r="213" spans="4:26" x14ac:dyDescent="0.3">
      <c r="D213" s="57"/>
      <c r="R213" s="10"/>
      <c r="S213" s="10"/>
      <c r="Z213" s="11"/>
    </row>
    <row r="214" spans="4:26" x14ac:dyDescent="0.3">
      <c r="D214" s="57"/>
      <c r="R214" s="10"/>
      <c r="S214" s="10"/>
      <c r="Z214" s="11"/>
    </row>
    <row r="215" spans="4:26" x14ac:dyDescent="0.3">
      <c r="D215" s="57"/>
      <c r="R215" s="10"/>
      <c r="S215" s="10"/>
      <c r="Z215" s="11"/>
    </row>
    <row r="216" spans="4:26" x14ac:dyDescent="0.3">
      <c r="D216" s="57"/>
      <c r="R216" s="10"/>
      <c r="S216" s="10"/>
      <c r="Z216" s="11"/>
    </row>
    <row r="217" spans="4:26" x14ac:dyDescent="0.3">
      <c r="D217" s="57"/>
      <c r="R217" s="10"/>
      <c r="S217" s="10"/>
      <c r="Z217" s="11"/>
    </row>
    <row r="218" spans="4:26" x14ac:dyDescent="0.3">
      <c r="D218" s="57"/>
      <c r="R218" s="10"/>
      <c r="S218" s="10"/>
      <c r="Z218" s="11"/>
    </row>
    <row r="219" spans="4:26" x14ac:dyDescent="0.3">
      <c r="D219" s="57"/>
      <c r="R219" s="10"/>
      <c r="S219" s="10"/>
      <c r="Z219" s="11"/>
    </row>
    <row r="220" spans="4:26" x14ac:dyDescent="0.3">
      <c r="D220" s="57"/>
      <c r="R220" s="10"/>
      <c r="S220" s="10"/>
      <c r="Z220" s="11"/>
    </row>
    <row r="221" spans="4:26" x14ac:dyDescent="0.3">
      <c r="D221" s="57"/>
      <c r="R221" s="10"/>
      <c r="S221" s="10"/>
      <c r="Z221" s="11"/>
    </row>
    <row r="222" spans="4:26" x14ac:dyDescent="0.3">
      <c r="D222" s="57"/>
      <c r="R222" s="10"/>
      <c r="S222" s="10"/>
      <c r="Z222" s="11"/>
    </row>
    <row r="223" spans="4:26" x14ac:dyDescent="0.3">
      <c r="D223" s="57"/>
      <c r="R223" s="10"/>
      <c r="S223" s="10"/>
      <c r="Z223" s="11"/>
    </row>
    <row r="224" spans="4:26" x14ac:dyDescent="0.3">
      <c r="D224" s="57"/>
      <c r="R224" s="10"/>
      <c r="S224" s="10"/>
      <c r="Z224" s="11"/>
    </row>
    <row r="225" spans="4:26" x14ac:dyDescent="0.3">
      <c r="D225" s="57"/>
      <c r="R225" s="10"/>
      <c r="S225" s="10"/>
      <c r="Z225" s="11"/>
    </row>
    <row r="226" spans="4:26" x14ac:dyDescent="0.3">
      <c r="D226" s="57"/>
      <c r="R226" s="10"/>
      <c r="S226" s="10"/>
      <c r="Z226" s="11"/>
    </row>
    <row r="227" spans="4:26" x14ac:dyDescent="0.3">
      <c r="D227" s="57"/>
      <c r="R227" s="10"/>
      <c r="S227" s="10"/>
      <c r="Z227" s="11"/>
    </row>
    <row r="228" spans="4:26" x14ac:dyDescent="0.3">
      <c r="D228" s="57"/>
      <c r="R228" s="10"/>
      <c r="S228" s="10"/>
      <c r="Z228" s="11"/>
    </row>
    <row r="229" spans="4:26" x14ac:dyDescent="0.3">
      <c r="D229" s="57"/>
      <c r="R229" s="10"/>
      <c r="S229" s="10"/>
      <c r="Z229" s="11"/>
    </row>
    <row r="230" spans="4:26" x14ac:dyDescent="0.3">
      <c r="D230" s="57"/>
      <c r="R230" s="10"/>
      <c r="S230" s="10"/>
      <c r="Z230" s="11"/>
    </row>
    <row r="231" spans="4:26" x14ac:dyDescent="0.3">
      <c r="D231" s="57"/>
      <c r="R231" s="10"/>
      <c r="S231" s="10"/>
      <c r="Z231" s="11"/>
    </row>
    <row r="232" spans="4:26" x14ac:dyDescent="0.3">
      <c r="D232" s="57"/>
      <c r="R232" s="10"/>
      <c r="S232" s="10"/>
      <c r="Z232" s="11"/>
    </row>
    <row r="233" spans="4:26" x14ac:dyDescent="0.3">
      <c r="D233" s="57"/>
      <c r="R233" s="10"/>
      <c r="S233" s="10"/>
      <c r="Z233" s="11"/>
    </row>
    <row r="234" spans="4:26" x14ac:dyDescent="0.3">
      <c r="D234" s="57"/>
      <c r="R234" s="10"/>
      <c r="S234" s="10"/>
      <c r="Z234" s="11"/>
    </row>
    <row r="235" spans="4:26" x14ac:dyDescent="0.3">
      <c r="D235" s="57"/>
      <c r="R235" s="10"/>
      <c r="S235" s="10"/>
      <c r="Z235" s="11"/>
    </row>
    <row r="236" spans="4:26" x14ac:dyDescent="0.3">
      <c r="D236" s="57"/>
      <c r="R236" s="10"/>
      <c r="S236" s="10"/>
      <c r="Z236" s="11"/>
    </row>
    <row r="237" spans="4:26" x14ac:dyDescent="0.3">
      <c r="D237" s="57"/>
      <c r="R237" s="10"/>
      <c r="S237" s="10"/>
      <c r="Z237" s="11"/>
    </row>
    <row r="238" spans="4:26" x14ac:dyDescent="0.3">
      <c r="D238" s="57"/>
      <c r="R238" s="10"/>
      <c r="S238" s="10"/>
      <c r="Z238" s="11"/>
    </row>
    <row r="239" spans="4:26" x14ac:dyDescent="0.3">
      <c r="D239" s="57"/>
      <c r="R239" s="10"/>
      <c r="S239" s="10"/>
      <c r="Z239" s="11"/>
    </row>
    <row r="240" spans="4:26" x14ac:dyDescent="0.3">
      <c r="D240" s="57"/>
      <c r="R240" s="10"/>
      <c r="S240" s="10"/>
      <c r="Z240" s="11"/>
    </row>
    <row r="241" spans="4:26" x14ac:dyDescent="0.3">
      <c r="D241" s="57"/>
      <c r="R241" s="10"/>
      <c r="S241" s="10"/>
      <c r="Z241" s="11"/>
    </row>
    <row r="242" spans="4:26" x14ac:dyDescent="0.3">
      <c r="D242" s="57"/>
      <c r="R242" s="10"/>
      <c r="S242" s="10"/>
      <c r="Z242" s="11"/>
    </row>
    <row r="243" spans="4:26" x14ac:dyDescent="0.3">
      <c r="D243" s="57"/>
      <c r="R243" s="10"/>
      <c r="S243" s="10"/>
      <c r="Z243" s="11"/>
    </row>
    <row r="244" spans="4:26" x14ac:dyDescent="0.3">
      <c r="D244" s="57"/>
      <c r="R244" s="10"/>
      <c r="S244" s="10"/>
      <c r="Z244" s="11"/>
    </row>
    <row r="245" spans="4:26" x14ac:dyDescent="0.3">
      <c r="D245" s="57"/>
      <c r="R245" s="10"/>
      <c r="S245" s="10"/>
      <c r="Z245" s="11"/>
    </row>
    <row r="246" spans="4:26" x14ac:dyDescent="0.3">
      <c r="D246" s="57"/>
      <c r="R246" s="10"/>
      <c r="S246" s="10"/>
      <c r="Z246" s="11"/>
    </row>
    <row r="247" spans="4:26" x14ac:dyDescent="0.3">
      <c r="D247" s="57"/>
      <c r="R247" s="10"/>
      <c r="S247" s="10"/>
      <c r="Z247" s="11"/>
    </row>
    <row r="248" spans="4:26" x14ac:dyDescent="0.3">
      <c r="D248" s="57"/>
      <c r="R248" s="10"/>
      <c r="S248" s="10"/>
      <c r="Z248" s="11"/>
    </row>
    <row r="249" spans="4:26" x14ac:dyDescent="0.3">
      <c r="D249" s="57"/>
      <c r="R249" s="10"/>
      <c r="S249" s="10"/>
      <c r="Z249" s="11"/>
    </row>
    <row r="250" spans="4:26" x14ac:dyDescent="0.3">
      <c r="D250" s="57"/>
      <c r="R250" s="10"/>
      <c r="S250" s="10"/>
      <c r="Z250" s="11"/>
    </row>
    <row r="251" spans="4:26" x14ac:dyDescent="0.3">
      <c r="D251" s="57"/>
      <c r="R251" s="10"/>
      <c r="S251" s="10"/>
      <c r="Z251" s="11"/>
    </row>
    <row r="252" spans="4:26" x14ac:dyDescent="0.3">
      <c r="D252" s="57"/>
      <c r="R252" s="10"/>
      <c r="S252" s="10"/>
      <c r="Z252" s="11"/>
    </row>
    <row r="253" spans="4:26" x14ac:dyDescent="0.3">
      <c r="D253" s="57"/>
      <c r="R253" s="10"/>
      <c r="S253" s="10"/>
      <c r="Z253" s="11"/>
    </row>
    <row r="254" spans="4:26" x14ac:dyDescent="0.3">
      <c r="D254" s="57"/>
      <c r="R254" s="10"/>
      <c r="S254" s="10"/>
      <c r="Z254" s="11"/>
    </row>
    <row r="255" spans="4:26" x14ac:dyDescent="0.3">
      <c r="D255" s="57"/>
      <c r="R255" s="10"/>
      <c r="S255" s="10"/>
      <c r="Z255" s="11"/>
    </row>
    <row r="256" spans="4:26" x14ac:dyDescent="0.3">
      <c r="D256" s="57"/>
      <c r="R256" s="10"/>
      <c r="S256" s="10"/>
      <c r="Z256" s="11"/>
    </row>
    <row r="257" spans="4:26" x14ac:dyDescent="0.3">
      <c r="D257" s="57"/>
      <c r="R257" s="10"/>
      <c r="S257" s="10"/>
      <c r="Z257" s="11"/>
    </row>
    <row r="258" spans="4:26" x14ac:dyDescent="0.3">
      <c r="D258" s="57"/>
      <c r="R258" s="10"/>
      <c r="S258" s="10"/>
      <c r="Z258" s="11"/>
    </row>
    <row r="259" spans="4:26" x14ac:dyDescent="0.3">
      <c r="D259" s="57"/>
      <c r="R259" s="10"/>
      <c r="S259" s="10"/>
      <c r="Z259" s="11"/>
    </row>
    <row r="260" spans="4:26" x14ac:dyDescent="0.3">
      <c r="D260" s="57"/>
      <c r="R260" s="10"/>
      <c r="S260" s="10"/>
      <c r="Z260" s="11"/>
    </row>
    <row r="261" spans="4:26" x14ac:dyDescent="0.3">
      <c r="D261" s="57"/>
      <c r="R261" s="10"/>
      <c r="S261" s="10"/>
      <c r="Z261" s="11"/>
    </row>
    <row r="262" spans="4:26" x14ac:dyDescent="0.3">
      <c r="D262" s="57"/>
      <c r="R262" s="10"/>
      <c r="S262" s="10"/>
      <c r="Z262" s="11"/>
    </row>
    <row r="263" spans="4:26" x14ac:dyDescent="0.3">
      <c r="D263" s="57"/>
      <c r="R263" s="10"/>
      <c r="S263" s="10"/>
      <c r="Z263" s="11"/>
    </row>
    <row r="264" spans="4:26" x14ac:dyDescent="0.3">
      <c r="D264" s="57"/>
      <c r="R264" s="10"/>
      <c r="S264" s="10"/>
      <c r="Z264" s="11"/>
    </row>
    <row r="265" spans="4:26" x14ac:dyDescent="0.3">
      <c r="D265" s="57"/>
      <c r="R265" s="10"/>
      <c r="S265" s="10"/>
      <c r="Z265" s="11"/>
    </row>
    <row r="266" spans="4:26" x14ac:dyDescent="0.3">
      <c r="D266" s="57"/>
      <c r="R266" s="10"/>
      <c r="S266" s="10"/>
      <c r="Z266" s="11"/>
    </row>
    <row r="267" spans="4:26" x14ac:dyDescent="0.3">
      <c r="D267" s="57"/>
      <c r="R267" s="10"/>
      <c r="S267" s="10"/>
      <c r="Z267" s="11"/>
    </row>
    <row r="268" spans="4:26" x14ac:dyDescent="0.3">
      <c r="D268" s="57"/>
      <c r="R268" s="10"/>
      <c r="S268" s="10"/>
      <c r="Z268" s="11"/>
    </row>
    <row r="269" spans="4:26" x14ac:dyDescent="0.3">
      <c r="D269" s="57"/>
      <c r="R269" s="10"/>
      <c r="S269" s="10"/>
      <c r="Z269" s="11"/>
    </row>
    <row r="270" spans="4:26" x14ac:dyDescent="0.3">
      <c r="D270" s="57"/>
      <c r="R270" s="10"/>
      <c r="S270" s="10"/>
      <c r="Z270" s="11"/>
    </row>
    <row r="271" spans="4:26" x14ac:dyDescent="0.3">
      <c r="D271" s="57"/>
      <c r="R271" s="10"/>
      <c r="S271" s="10"/>
      <c r="Z271" s="11"/>
    </row>
    <row r="272" spans="4:26" x14ac:dyDescent="0.3">
      <c r="D272" s="57"/>
      <c r="R272" s="10"/>
      <c r="S272" s="10"/>
      <c r="Z272" s="11"/>
    </row>
    <row r="273" spans="4:26" x14ac:dyDescent="0.3">
      <c r="D273" s="57"/>
      <c r="R273" s="10"/>
      <c r="S273" s="10"/>
      <c r="Z273" s="11"/>
    </row>
    <row r="274" spans="4:26" x14ac:dyDescent="0.3">
      <c r="D274" s="57"/>
      <c r="R274" s="10"/>
      <c r="S274" s="10"/>
      <c r="Z274" s="11"/>
    </row>
    <row r="275" spans="4:26" x14ac:dyDescent="0.3">
      <c r="D275" s="57"/>
      <c r="R275" s="10"/>
      <c r="S275" s="10"/>
      <c r="Z275" s="11"/>
    </row>
    <row r="276" spans="4:26" x14ac:dyDescent="0.3">
      <c r="D276" s="57"/>
      <c r="R276" s="10"/>
      <c r="S276" s="10"/>
      <c r="Z276" s="11"/>
    </row>
    <row r="277" spans="4:26" x14ac:dyDescent="0.3">
      <c r="D277" s="57"/>
      <c r="R277" s="10"/>
      <c r="S277" s="10"/>
      <c r="Z277" s="11"/>
    </row>
    <row r="278" spans="4:26" x14ac:dyDescent="0.3">
      <c r="D278" s="57"/>
      <c r="R278" s="10"/>
      <c r="S278" s="10"/>
      <c r="Z278" s="11"/>
    </row>
    <row r="279" spans="4:26" x14ac:dyDescent="0.3">
      <c r="D279" s="57"/>
      <c r="R279" s="10"/>
      <c r="S279" s="10"/>
      <c r="Z279" s="11"/>
    </row>
    <row r="280" spans="4:26" x14ac:dyDescent="0.3">
      <c r="D280" s="57"/>
      <c r="R280" s="10"/>
      <c r="S280" s="10"/>
      <c r="Z280" s="11"/>
    </row>
    <row r="281" spans="4:26" x14ac:dyDescent="0.3">
      <c r="D281" s="57"/>
      <c r="R281" s="10"/>
      <c r="S281" s="10"/>
      <c r="Z281" s="11"/>
    </row>
    <row r="282" spans="4:26" x14ac:dyDescent="0.3">
      <c r="D282" s="57"/>
      <c r="R282" s="10"/>
      <c r="S282" s="10"/>
      <c r="Z282" s="11"/>
    </row>
    <row r="283" spans="4:26" x14ac:dyDescent="0.3">
      <c r="D283" s="57"/>
      <c r="R283" s="10"/>
      <c r="S283" s="10"/>
      <c r="Z283" s="11"/>
    </row>
    <row r="284" spans="4:26" x14ac:dyDescent="0.3">
      <c r="D284" s="57"/>
      <c r="R284" s="10"/>
      <c r="S284" s="10"/>
      <c r="Z284" s="11"/>
    </row>
    <row r="285" spans="4:26" x14ac:dyDescent="0.3">
      <c r="D285" s="57"/>
      <c r="R285" s="10"/>
      <c r="S285" s="10"/>
      <c r="Z285" s="11"/>
    </row>
    <row r="286" spans="4:26" x14ac:dyDescent="0.3">
      <c r="D286" s="57"/>
      <c r="R286" s="10"/>
      <c r="S286" s="10"/>
      <c r="Z286" s="11"/>
    </row>
    <row r="287" spans="4:26" x14ac:dyDescent="0.3">
      <c r="D287" s="57"/>
      <c r="R287" s="10"/>
      <c r="S287" s="10"/>
      <c r="Z287" s="11"/>
    </row>
    <row r="288" spans="4:26" x14ac:dyDescent="0.3">
      <c r="D288" s="57"/>
      <c r="R288" s="10"/>
      <c r="S288" s="10"/>
      <c r="Z288" s="11"/>
    </row>
    <row r="289" spans="4:26" x14ac:dyDescent="0.3">
      <c r="D289" s="57"/>
      <c r="R289" s="10"/>
      <c r="S289" s="10"/>
      <c r="Z289" s="11"/>
    </row>
    <row r="290" spans="4:26" x14ac:dyDescent="0.3">
      <c r="D290" s="57"/>
      <c r="R290" s="10"/>
      <c r="S290" s="10"/>
      <c r="Z290" s="11"/>
    </row>
    <row r="291" spans="4:26" x14ac:dyDescent="0.3">
      <c r="D291" s="57"/>
      <c r="R291" s="10"/>
      <c r="S291" s="10"/>
      <c r="Z291" s="11"/>
    </row>
    <row r="292" spans="4:26" x14ac:dyDescent="0.3">
      <c r="D292" s="57"/>
      <c r="R292" s="10"/>
      <c r="S292" s="10"/>
      <c r="Z292" s="11"/>
    </row>
    <row r="293" spans="4:26" x14ac:dyDescent="0.3">
      <c r="D293" s="57"/>
      <c r="R293" s="10"/>
      <c r="S293" s="10"/>
      <c r="Z293" s="11"/>
    </row>
    <row r="294" spans="4:26" x14ac:dyDescent="0.3">
      <c r="D294" s="57"/>
      <c r="R294" s="10"/>
      <c r="S294" s="10"/>
      <c r="Z294" s="11"/>
    </row>
    <row r="295" spans="4:26" x14ac:dyDescent="0.3">
      <c r="D295" s="57"/>
      <c r="R295" s="10"/>
      <c r="S295" s="10"/>
      <c r="Z295" s="11"/>
    </row>
    <row r="296" spans="4:26" x14ac:dyDescent="0.3">
      <c r="D296" s="57"/>
      <c r="R296" s="10"/>
      <c r="S296" s="10"/>
      <c r="Z296" s="11"/>
    </row>
    <row r="297" spans="4:26" x14ac:dyDescent="0.3">
      <c r="D297" s="57"/>
      <c r="R297" s="10"/>
      <c r="S297" s="10"/>
      <c r="Z297" s="11"/>
    </row>
    <row r="298" spans="4:26" x14ac:dyDescent="0.3">
      <c r="D298" s="57"/>
      <c r="R298" s="10"/>
      <c r="S298" s="10"/>
      <c r="Z298" s="11"/>
    </row>
    <row r="299" spans="4:26" x14ac:dyDescent="0.3">
      <c r="D299" s="57"/>
      <c r="R299" s="10"/>
      <c r="S299" s="10"/>
      <c r="Z299" s="11"/>
    </row>
    <row r="300" spans="4:26" x14ac:dyDescent="0.3">
      <c r="D300" s="57"/>
      <c r="R300" s="10"/>
      <c r="S300" s="10"/>
      <c r="Z300" s="11"/>
    </row>
    <row r="301" spans="4:26" x14ac:dyDescent="0.3">
      <c r="D301" s="57"/>
      <c r="R301" s="10"/>
      <c r="S301" s="10"/>
      <c r="Z301" s="11"/>
    </row>
    <row r="302" spans="4:26" x14ac:dyDescent="0.3">
      <c r="D302" s="57"/>
      <c r="R302" s="10"/>
      <c r="S302" s="10"/>
      <c r="Z302" s="11"/>
    </row>
    <row r="303" spans="4:26" x14ac:dyDescent="0.3">
      <c r="D303" s="57"/>
      <c r="R303" s="10"/>
      <c r="S303" s="10"/>
      <c r="Z303" s="11"/>
    </row>
    <row r="304" spans="4:26" x14ac:dyDescent="0.3">
      <c r="D304" s="57"/>
      <c r="R304" s="10"/>
      <c r="S304" s="10"/>
      <c r="Z304" s="11"/>
    </row>
    <row r="305" spans="4:26" x14ac:dyDescent="0.3">
      <c r="D305" s="57"/>
      <c r="R305" s="10"/>
      <c r="S305" s="10"/>
      <c r="Z305" s="11"/>
    </row>
    <row r="306" spans="4:26" x14ac:dyDescent="0.3">
      <c r="D306" s="57"/>
      <c r="R306" s="10"/>
      <c r="S306" s="10"/>
      <c r="Z306" s="11"/>
    </row>
    <row r="307" spans="4:26" x14ac:dyDescent="0.3">
      <c r="D307" s="57"/>
      <c r="R307" s="10"/>
      <c r="S307" s="10"/>
      <c r="Z307" s="11"/>
    </row>
    <row r="308" spans="4:26" x14ac:dyDescent="0.3">
      <c r="D308" s="57"/>
      <c r="R308" s="10"/>
      <c r="S308" s="10"/>
      <c r="Z308" s="11"/>
    </row>
    <row r="309" spans="4:26" x14ac:dyDescent="0.3">
      <c r="D309" s="57"/>
      <c r="R309" s="10"/>
      <c r="S309" s="10"/>
      <c r="Z309" s="11"/>
    </row>
    <row r="310" spans="4:26" x14ac:dyDescent="0.3">
      <c r="D310" s="57"/>
      <c r="R310" s="10"/>
      <c r="S310" s="10"/>
      <c r="Z310" s="11"/>
    </row>
    <row r="311" spans="4:26" x14ac:dyDescent="0.3">
      <c r="D311" s="57"/>
      <c r="R311" s="10"/>
      <c r="S311" s="10"/>
      <c r="Z311" s="11"/>
    </row>
    <row r="312" spans="4:26" x14ac:dyDescent="0.3">
      <c r="D312" s="57"/>
      <c r="R312" s="10"/>
      <c r="S312" s="10"/>
      <c r="Z312" s="11"/>
    </row>
    <row r="313" spans="4:26" x14ac:dyDescent="0.3">
      <c r="D313" s="57"/>
      <c r="R313" s="10"/>
      <c r="S313" s="10"/>
      <c r="Z313" s="11"/>
    </row>
    <row r="314" spans="4:26" x14ac:dyDescent="0.3">
      <c r="D314" s="57"/>
      <c r="R314" s="10"/>
      <c r="S314" s="10"/>
      <c r="Z314" s="11"/>
    </row>
    <row r="315" spans="4:26" x14ac:dyDescent="0.3">
      <c r="D315" s="57"/>
      <c r="R315" s="10"/>
      <c r="S315" s="10"/>
      <c r="Z315" s="11"/>
    </row>
    <row r="316" spans="4:26" x14ac:dyDescent="0.3">
      <c r="D316" s="57"/>
      <c r="R316" s="10"/>
      <c r="S316" s="10"/>
      <c r="Z316" s="11"/>
    </row>
    <row r="317" spans="4:26" x14ac:dyDescent="0.3">
      <c r="D317" s="57"/>
      <c r="R317" s="10"/>
      <c r="S317" s="10"/>
      <c r="Z317" s="11"/>
    </row>
    <row r="318" spans="4:26" x14ac:dyDescent="0.3">
      <c r="D318" s="57"/>
      <c r="R318" s="10"/>
      <c r="S318" s="10"/>
      <c r="Z318" s="11"/>
    </row>
    <row r="319" spans="4:26" x14ac:dyDescent="0.3">
      <c r="D319" s="57"/>
      <c r="R319" s="10"/>
      <c r="S319" s="10"/>
      <c r="Z319" s="11"/>
    </row>
    <row r="320" spans="4:26" x14ac:dyDescent="0.3">
      <c r="D320" s="57"/>
      <c r="R320" s="10"/>
      <c r="S320" s="10"/>
      <c r="Z320" s="11"/>
    </row>
    <row r="321" spans="4:26" x14ac:dyDescent="0.3">
      <c r="D321" s="57"/>
      <c r="R321" s="10"/>
      <c r="S321" s="10"/>
      <c r="Z321" s="11"/>
    </row>
    <row r="322" spans="4:26" x14ac:dyDescent="0.3">
      <c r="D322" s="57"/>
      <c r="R322" s="10"/>
      <c r="S322" s="10"/>
      <c r="Z322" s="11"/>
    </row>
    <row r="323" spans="4:26" x14ac:dyDescent="0.3">
      <c r="D323" s="57"/>
      <c r="R323" s="10"/>
      <c r="S323" s="10"/>
      <c r="Z323" s="11"/>
    </row>
    <row r="324" spans="4:26" x14ac:dyDescent="0.3">
      <c r="D324" s="57"/>
      <c r="R324" s="10"/>
      <c r="S324" s="10"/>
      <c r="Z324" s="11"/>
    </row>
    <row r="325" spans="4:26" x14ac:dyDescent="0.3">
      <c r="D325" s="57"/>
      <c r="R325" s="10"/>
      <c r="S325" s="10"/>
      <c r="Z325" s="11"/>
    </row>
    <row r="326" spans="4:26" x14ac:dyDescent="0.3">
      <c r="D326" s="57"/>
      <c r="R326" s="10"/>
      <c r="S326" s="10"/>
      <c r="Z326" s="11"/>
    </row>
    <row r="327" spans="4:26" x14ac:dyDescent="0.3">
      <c r="D327" s="57"/>
      <c r="R327" s="10"/>
      <c r="S327" s="10"/>
      <c r="Z327" s="11"/>
    </row>
    <row r="328" spans="4:26" x14ac:dyDescent="0.3">
      <c r="D328" s="57"/>
      <c r="R328" s="10"/>
      <c r="S328" s="10"/>
      <c r="Z328" s="11"/>
    </row>
    <row r="329" spans="4:26" x14ac:dyDescent="0.3">
      <c r="D329" s="57"/>
      <c r="R329" s="10"/>
      <c r="S329" s="10"/>
      <c r="Z329" s="11"/>
    </row>
    <row r="330" spans="4:26" x14ac:dyDescent="0.3">
      <c r="D330" s="57"/>
      <c r="R330" s="10"/>
      <c r="S330" s="10"/>
      <c r="Z330" s="11"/>
    </row>
    <row r="331" spans="4:26" x14ac:dyDescent="0.3">
      <c r="D331" s="57"/>
      <c r="R331" s="10"/>
      <c r="S331" s="10"/>
      <c r="Z331" s="11"/>
    </row>
    <row r="332" spans="4:26" x14ac:dyDescent="0.3">
      <c r="D332" s="57"/>
      <c r="R332" s="10"/>
      <c r="S332" s="10"/>
      <c r="Z332" s="11"/>
    </row>
    <row r="333" spans="4:26" x14ac:dyDescent="0.3">
      <c r="D333" s="57"/>
      <c r="R333" s="10"/>
      <c r="S333" s="10"/>
      <c r="Z333" s="11"/>
    </row>
    <row r="334" spans="4:26" x14ac:dyDescent="0.3">
      <c r="D334" s="57"/>
      <c r="R334" s="10"/>
      <c r="S334" s="10"/>
      <c r="Z334" s="11"/>
    </row>
    <row r="335" spans="4:26" x14ac:dyDescent="0.3">
      <c r="D335" s="57"/>
      <c r="R335" s="10"/>
      <c r="S335" s="10"/>
      <c r="Z335" s="11"/>
    </row>
    <row r="336" spans="4:26" x14ac:dyDescent="0.3">
      <c r="D336" s="57"/>
      <c r="R336" s="10"/>
      <c r="S336" s="10"/>
      <c r="Z336" s="11"/>
    </row>
    <row r="337" spans="4:26" x14ac:dyDescent="0.3">
      <c r="D337" s="57"/>
      <c r="R337" s="10"/>
      <c r="S337" s="10"/>
      <c r="Z337" s="11"/>
    </row>
    <row r="338" spans="4:26" x14ac:dyDescent="0.3">
      <c r="D338" s="57"/>
      <c r="R338" s="10"/>
      <c r="S338" s="10"/>
      <c r="Z338" s="11"/>
    </row>
    <row r="339" spans="4:26" x14ac:dyDescent="0.3">
      <c r="D339" s="57"/>
      <c r="R339" s="10"/>
      <c r="S339" s="10"/>
      <c r="Z339" s="11"/>
    </row>
    <row r="340" spans="4:26" x14ac:dyDescent="0.3">
      <c r="D340" s="57"/>
      <c r="R340" s="10"/>
      <c r="S340" s="10"/>
      <c r="Z340" s="11"/>
    </row>
    <row r="341" spans="4:26" x14ac:dyDescent="0.3">
      <c r="D341" s="57"/>
      <c r="R341" s="10"/>
      <c r="S341" s="10"/>
      <c r="Z341" s="11"/>
    </row>
    <row r="342" spans="4:26" x14ac:dyDescent="0.3">
      <c r="D342" s="57"/>
      <c r="R342" s="10"/>
      <c r="S342" s="10"/>
      <c r="Z342" s="11"/>
    </row>
    <row r="343" spans="4:26" x14ac:dyDescent="0.3">
      <c r="D343" s="57"/>
      <c r="R343" s="10"/>
      <c r="S343" s="10"/>
      <c r="Z343" s="11"/>
    </row>
    <row r="344" spans="4:26" x14ac:dyDescent="0.3">
      <c r="D344" s="57"/>
      <c r="R344" s="10"/>
      <c r="S344" s="10"/>
      <c r="Z344" s="11"/>
    </row>
    <row r="345" spans="4:26" x14ac:dyDescent="0.3">
      <c r="D345" s="57"/>
      <c r="R345" s="10"/>
      <c r="S345" s="10"/>
      <c r="Z345" s="11"/>
    </row>
    <row r="346" spans="4:26" x14ac:dyDescent="0.3">
      <c r="D346" s="57"/>
      <c r="R346" s="10"/>
      <c r="S346" s="10"/>
      <c r="Z346" s="11"/>
    </row>
    <row r="347" spans="4:26" x14ac:dyDescent="0.3">
      <c r="D347" s="57"/>
      <c r="R347" s="10"/>
      <c r="S347" s="10"/>
      <c r="Z347" s="11"/>
    </row>
    <row r="348" spans="4:26" x14ac:dyDescent="0.3">
      <c r="D348" s="57"/>
      <c r="R348" s="10"/>
      <c r="S348" s="10"/>
      <c r="Z348" s="11"/>
    </row>
    <row r="349" spans="4:26" x14ac:dyDescent="0.3">
      <c r="D349" s="57"/>
      <c r="R349" s="10"/>
      <c r="S349" s="10"/>
      <c r="Z349" s="11"/>
    </row>
    <row r="350" spans="4:26" x14ac:dyDescent="0.3">
      <c r="D350" s="57"/>
      <c r="R350" s="10"/>
      <c r="S350" s="10"/>
      <c r="Z350" s="11"/>
    </row>
    <row r="351" spans="4:26" x14ac:dyDescent="0.3">
      <c r="D351" s="57"/>
      <c r="R351" s="10"/>
      <c r="S351" s="10"/>
      <c r="Z351" s="11"/>
    </row>
    <row r="352" spans="4:26" x14ac:dyDescent="0.3">
      <c r="D352" s="57"/>
      <c r="R352" s="10"/>
      <c r="S352" s="10"/>
      <c r="Z352" s="11"/>
    </row>
    <row r="353" spans="4:26" x14ac:dyDescent="0.3">
      <c r="D353" s="57"/>
      <c r="R353" s="10"/>
      <c r="S353" s="10"/>
      <c r="Z353" s="11"/>
    </row>
    <row r="354" spans="4:26" x14ac:dyDescent="0.3">
      <c r="D354" s="57"/>
      <c r="R354" s="10"/>
      <c r="S354" s="10"/>
      <c r="Z354" s="11"/>
    </row>
    <row r="355" spans="4:26" x14ac:dyDescent="0.3">
      <c r="D355" s="57"/>
      <c r="R355" s="10"/>
      <c r="S355" s="10"/>
      <c r="Z355" s="11"/>
    </row>
    <row r="356" spans="4:26" x14ac:dyDescent="0.3">
      <c r="D356" s="57"/>
      <c r="R356" s="10"/>
      <c r="S356" s="10"/>
      <c r="Z356" s="11"/>
    </row>
    <row r="357" spans="4:26" x14ac:dyDescent="0.3">
      <c r="D357" s="57"/>
      <c r="R357" s="10"/>
      <c r="S357" s="10"/>
      <c r="Z357" s="11"/>
    </row>
    <row r="358" spans="4:26" x14ac:dyDescent="0.3">
      <c r="D358" s="57"/>
      <c r="R358" s="10"/>
      <c r="S358" s="10"/>
      <c r="Z358" s="11"/>
    </row>
    <row r="359" spans="4:26" x14ac:dyDescent="0.3">
      <c r="D359" s="57"/>
      <c r="R359" s="10"/>
      <c r="S359" s="10"/>
      <c r="Z359" s="11"/>
    </row>
    <row r="360" spans="4:26" x14ac:dyDescent="0.3">
      <c r="D360" s="57"/>
      <c r="R360" s="10"/>
      <c r="S360" s="10"/>
      <c r="Z360" s="11"/>
    </row>
    <row r="361" spans="4:26" x14ac:dyDescent="0.3">
      <c r="D361" s="57"/>
      <c r="R361" s="10"/>
      <c r="S361" s="10"/>
      <c r="Z361" s="11"/>
    </row>
    <row r="362" spans="4:26" x14ac:dyDescent="0.3">
      <c r="D362" s="57"/>
      <c r="R362" s="10"/>
      <c r="S362" s="10"/>
      <c r="Z362" s="11"/>
    </row>
    <row r="363" spans="4:26" x14ac:dyDescent="0.3">
      <c r="D363" s="57"/>
      <c r="R363" s="10"/>
      <c r="S363" s="10"/>
      <c r="Z363" s="11"/>
    </row>
    <row r="364" spans="4:26" x14ac:dyDescent="0.3">
      <c r="D364" s="57"/>
      <c r="R364" s="10"/>
      <c r="S364" s="10"/>
      <c r="Z364" s="11"/>
    </row>
    <row r="365" spans="4:26" x14ac:dyDescent="0.3">
      <c r="D365" s="57"/>
      <c r="R365" s="10"/>
      <c r="S365" s="10"/>
      <c r="Z365" s="11"/>
    </row>
    <row r="366" spans="4:26" x14ac:dyDescent="0.3">
      <c r="D366" s="57"/>
      <c r="R366" s="10"/>
      <c r="S366" s="10"/>
      <c r="Z366" s="11"/>
    </row>
    <row r="367" spans="4:26" x14ac:dyDescent="0.3">
      <c r="D367" s="57"/>
      <c r="R367" s="10"/>
      <c r="S367" s="10"/>
      <c r="Z367" s="11"/>
    </row>
    <row r="368" spans="4:26" x14ac:dyDescent="0.3">
      <c r="D368" s="57"/>
      <c r="R368" s="10"/>
      <c r="S368" s="10"/>
      <c r="Z368" s="11"/>
    </row>
    <row r="369" spans="4:26" x14ac:dyDescent="0.3">
      <c r="D369" s="57"/>
      <c r="R369" s="10"/>
      <c r="S369" s="10"/>
      <c r="Z369" s="11"/>
    </row>
    <row r="370" spans="4:26" x14ac:dyDescent="0.3">
      <c r="D370" s="57"/>
      <c r="R370" s="10"/>
      <c r="S370" s="10"/>
      <c r="Z370" s="11"/>
    </row>
    <row r="371" spans="4:26" x14ac:dyDescent="0.3">
      <c r="D371" s="57"/>
      <c r="R371" s="10"/>
      <c r="S371" s="10"/>
      <c r="Z371" s="11"/>
    </row>
    <row r="372" spans="4:26" x14ac:dyDescent="0.3">
      <c r="D372" s="57"/>
      <c r="R372" s="10"/>
      <c r="S372" s="10"/>
      <c r="Z372" s="11"/>
    </row>
    <row r="373" spans="4:26" x14ac:dyDescent="0.3">
      <c r="R373" s="10"/>
      <c r="S373" s="10"/>
      <c r="Z373" s="11"/>
    </row>
    <row r="374" spans="4:26" x14ac:dyDescent="0.3">
      <c r="R374" s="10"/>
      <c r="S374" s="10"/>
      <c r="Z374" s="11"/>
    </row>
    <row r="375" spans="4:26" x14ac:dyDescent="0.3">
      <c r="R375" s="10"/>
      <c r="S375" s="10"/>
      <c r="Z375" s="11"/>
    </row>
    <row r="376" spans="4:26" x14ac:dyDescent="0.3">
      <c r="R376" s="10"/>
      <c r="S376" s="10"/>
      <c r="Z376" s="11"/>
    </row>
    <row r="377" spans="4:26" x14ac:dyDescent="0.3">
      <c r="R377" s="10"/>
      <c r="S377" s="10"/>
      <c r="Z377" s="11"/>
    </row>
    <row r="378" spans="4:26" x14ac:dyDescent="0.3">
      <c r="R378" s="10"/>
      <c r="S378" s="10"/>
      <c r="Z378" s="11"/>
    </row>
    <row r="379" spans="4:26" x14ac:dyDescent="0.3">
      <c r="R379" s="10"/>
      <c r="S379" s="10"/>
      <c r="Z379" s="11"/>
    </row>
    <row r="380" spans="4:26" x14ac:dyDescent="0.3">
      <c r="R380" s="10"/>
      <c r="S380" s="10"/>
      <c r="Z380" s="11"/>
    </row>
    <row r="381" spans="4:26" x14ac:dyDescent="0.3">
      <c r="R381" s="10"/>
      <c r="S381" s="10"/>
      <c r="Z381" s="11"/>
    </row>
    <row r="382" spans="4:26" x14ac:dyDescent="0.3">
      <c r="R382" s="10"/>
      <c r="S382" s="10"/>
      <c r="Z382" s="11"/>
    </row>
    <row r="383" spans="4:26" x14ac:dyDescent="0.3">
      <c r="R383" s="10"/>
      <c r="S383" s="10"/>
      <c r="Z383" s="11"/>
    </row>
    <row r="384" spans="4:26" x14ac:dyDescent="0.3">
      <c r="R384" s="10"/>
      <c r="S384" s="10"/>
      <c r="Z384" s="11"/>
    </row>
    <row r="385" spans="18:26" x14ac:dyDescent="0.3">
      <c r="R385" s="10"/>
      <c r="S385" s="10"/>
      <c r="Z385" s="11"/>
    </row>
    <row r="386" spans="18:26" x14ac:dyDescent="0.3">
      <c r="R386" s="10"/>
      <c r="S386" s="10"/>
      <c r="Z386" s="11"/>
    </row>
    <row r="387" spans="18:26" x14ac:dyDescent="0.3">
      <c r="R387" s="10"/>
      <c r="S387" s="10"/>
      <c r="Z387" s="11"/>
    </row>
    <row r="388" spans="18:26" x14ac:dyDescent="0.3">
      <c r="R388" s="10"/>
      <c r="S388" s="10"/>
      <c r="Z388" s="11"/>
    </row>
    <row r="389" spans="18:26" x14ac:dyDescent="0.3">
      <c r="R389" s="10"/>
      <c r="S389" s="10"/>
      <c r="Z389" s="11"/>
    </row>
    <row r="390" spans="18:26" x14ac:dyDescent="0.3">
      <c r="R390" s="10"/>
      <c r="S390" s="10"/>
      <c r="Z390" s="11"/>
    </row>
    <row r="391" spans="18:26" x14ac:dyDescent="0.3">
      <c r="R391" s="10"/>
      <c r="S391" s="10"/>
      <c r="Z391" s="11"/>
    </row>
    <row r="392" spans="18:26" x14ac:dyDescent="0.3">
      <c r="R392" s="10"/>
      <c r="S392" s="10"/>
      <c r="Z392" s="11"/>
    </row>
    <row r="393" spans="18:26" x14ac:dyDescent="0.3">
      <c r="R393" s="10"/>
      <c r="S393" s="10"/>
      <c r="Z393" s="11"/>
    </row>
    <row r="394" spans="18:26" x14ac:dyDescent="0.3">
      <c r="R394" s="10"/>
      <c r="S394" s="10"/>
      <c r="Z394" s="11"/>
    </row>
    <row r="395" spans="18:26" x14ac:dyDescent="0.3">
      <c r="R395" s="10"/>
      <c r="S395" s="10"/>
      <c r="Z395" s="11"/>
    </row>
    <row r="396" spans="18:26" x14ac:dyDescent="0.3">
      <c r="R396" s="10"/>
      <c r="S396" s="10"/>
      <c r="Z396" s="11"/>
    </row>
    <row r="397" spans="18:26" x14ac:dyDescent="0.3">
      <c r="R397" s="10"/>
      <c r="S397" s="10"/>
      <c r="Z397" s="11"/>
    </row>
    <row r="398" spans="18:26" x14ac:dyDescent="0.3">
      <c r="R398" s="10"/>
      <c r="S398" s="10"/>
      <c r="Z398" s="11"/>
    </row>
    <row r="399" spans="18:26" x14ac:dyDescent="0.3">
      <c r="R399" s="10"/>
      <c r="S399" s="10"/>
      <c r="Z399" s="11"/>
    </row>
    <row r="400" spans="18:26" x14ac:dyDescent="0.3">
      <c r="R400" s="10"/>
      <c r="S400" s="10"/>
      <c r="Z400" s="11"/>
    </row>
    <row r="401" spans="18:26" x14ac:dyDescent="0.3">
      <c r="R401" s="10"/>
      <c r="S401" s="10"/>
      <c r="Z401" s="11"/>
    </row>
    <row r="402" spans="18:26" x14ac:dyDescent="0.3">
      <c r="R402" s="10"/>
      <c r="S402" s="10"/>
      <c r="Z402" s="11"/>
    </row>
    <row r="403" spans="18:26" x14ac:dyDescent="0.3">
      <c r="R403" s="10"/>
      <c r="S403" s="10"/>
      <c r="Z403" s="11"/>
    </row>
    <row r="404" spans="18:26" x14ac:dyDescent="0.3">
      <c r="R404" s="10"/>
      <c r="S404" s="10"/>
      <c r="Z404" s="11"/>
    </row>
    <row r="405" spans="18:26" x14ac:dyDescent="0.3">
      <c r="R405" s="10"/>
      <c r="S405" s="10"/>
      <c r="Z405" s="11"/>
    </row>
    <row r="406" spans="18:26" x14ac:dyDescent="0.3">
      <c r="R406" s="10"/>
      <c r="S406" s="10"/>
      <c r="Z406" s="11"/>
    </row>
    <row r="407" spans="18:26" x14ac:dyDescent="0.3">
      <c r="R407" s="10"/>
      <c r="S407" s="10"/>
      <c r="Z407" s="11"/>
    </row>
    <row r="408" spans="18:26" x14ac:dyDescent="0.3">
      <c r="R408" s="10"/>
      <c r="S408" s="10"/>
      <c r="Z408" s="11"/>
    </row>
    <row r="409" spans="18:26" x14ac:dyDescent="0.3">
      <c r="R409" s="10"/>
      <c r="S409" s="10"/>
      <c r="Z409" s="11"/>
    </row>
    <row r="410" spans="18:26" x14ac:dyDescent="0.3">
      <c r="R410" s="10"/>
      <c r="S410" s="10"/>
      <c r="Z410" s="11"/>
    </row>
    <row r="411" spans="18:26" x14ac:dyDescent="0.3">
      <c r="R411" s="10"/>
      <c r="S411" s="10"/>
      <c r="Z411" s="11"/>
    </row>
    <row r="412" spans="18:26" x14ac:dyDescent="0.3">
      <c r="R412" s="10"/>
      <c r="S412" s="10"/>
      <c r="Z412" s="11"/>
    </row>
    <row r="413" spans="18:26" x14ac:dyDescent="0.3">
      <c r="R413" s="10"/>
      <c r="S413" s="10"/>
      <c r="Z413" s="11"/>
    </row>
    <row r="414" spans="18:26" x14ac:dyDescent="0.3">
      <c r="R414" s="10"/>
      <c r="S414" s="10"/>
      <c r="Z414" s="11"/>
    </row>
    <row r="415" spans="18:26" x14ac:dyDescent="0.3">
      <c r="R415" s="10"/>
      <c r="S415" s="10"/>
      <c r="Z415" s="11"/>
    </row>
    <row r="416" spans="18:26" x14ac:dyDescent="0.3">
      <c r="R416" s="10"/>
      <c r="S416" s="10"/>
      <c r="Z416" s="11"/>
    </row>
    <row r="417" spans="18:26" x14ac:dyDescent="0.3">
      <c r="R417" s="10"/>
      <c r="S417" s="10"/>
      <c r="Z417" s="11"/>
    </row>
    <row r="418" spans="18:26" x14ac:dyDescent="0.3">
      <c r="R418" s="10"/>
      <c r="S418" s="10"/>
      <c r="Z418" s="11"/>
    </row>
    <row r="419" spans="18:26" x14ac:dyDescent="0.3">
      <c r="R419" s="10"/>
      <c r="S419" s="10"/>
      <c r="Z419" s="11"/>
    </row>
    <row r="420" spans="18:26" x14ac:dyDescent="0.3">
      <c r="R420" s="10"/>
      <c r="S420" s="10"/>
      <c r="Z420" s="11"/>
    </row>
    <row r="421" spans="18:26" x14ac:dyDescent="0.3">
      <c r="R421" s="10"/>
      <c r="S421" s="10"/>
      <c r="Z421" s="11"/>
    </row>
    <row r="422" spans="18:26" x14ac:dyDescent="0.3">
      <c r="R422" s="10"/>
      <c r="S422" s="10"/>
      <c r="Z422" s="11"/>
    </row>
    <row r="423" spans="18:26" x14ac:dyDescent="0.3">
      <c r="R423" s="10"/>
      <c r="S423" s="10"/>
      <c r="Z423" s="11"/>
    </row>
    <row r="424" spans="18:26" x14ac:dyDescent="0.3">
      <c r="R424" s="10"/>
      <c r="S424" s="10"/>
      <c r="Z424" s="11"/>
    </row>
    <row r="425" spans="18:26" x14ac:dyDescent="0.3">
      <c r="R425" s="10"/>
      <c r="S425" s="10"/>
      <c r="Z425" s="11"/>
    </row>
    <row r="426" spans="18:26" x14ac:dyDescent="0.3">
      <c r="R426" s="10"/>
      <c r="S426" s="10"/>
      <c r="Z426" s="11"/>
    </row>
    <row r="427" spans="18:26" x14ac:dyDescent="0.3">
      <c r="R427" s="10"/>
      <c r="S427" s="10"/>
      <c r="Z427" s="11"/>
    </row>
    <row r="428" spans="18:26" x14ac:dyDescent="0.3">
      <c r="R428" s="10"/>
      <c r="S428" s="10"/>
      <c r="Z428" s="11"/>
    </row>
    <row r="429" spans="18:26" x14ac:dyDescent="0.3">
      <c r="R429" s="10"/>
      <c r="S429" s="10"/>
      <c r="Z429" s="11"/>
    </row>
    <row r="430" spans="18:26" x14ac:dyDescent="0.3">
      <c r="R430" s="10"/>
      <c r="S430" s="10"/>
      <c r="Z430" s="11"/>
    </row>
    <row r="431" spans="18:26" x14ac:dyDescent="0.3">
      <c r="R431" s="10"/>
      <c r="S431" s="10"/>
      <c r="Z431" s="11"/>
    </row>
    <row r="432" spans="18:26" x14ac:dyDescent="0.3">
      <c r="R432" s="10"/>
      <c r="S432" s="10"/>
      <c r="Z432" s="11"/>
    </row>
    <row r="433" spans="18:26" x14ac:dyDescent="0.3">
      <c r="R433" s="10"/>
      <c r="S433" s="10"/>
      <c r="Z433" s="11"/>
    </row>
    <row r="434" spans="18:26" x14ac:dyDescent="0.3">
      <c r="R434" s="10"/>
      <c r="S434" s="10"/>
      <c r="Z434" s="11"/>
    </row>
    <row r="435" spans="18:26" x14ac:dyDescent="0.3">
      <c r="R435" s="10"/>
      <c r="S435" s="10"/>
      <c r="Z435" s="11"/>
    </row>
    <row r="436" spans="18:26" x14ac:dyDescent="0.3">
      <c r="R436" s="10"/>
      <c r="S436" s="10"/>
      <c r="Z436" s="11"/>
    </row>
    <row r="437" spans="18:26" x14ac:dyDescent="0.3">
      <c r="R437" s="10"/>
      <c r="S437" s="10"/>
      <c r="Z437" s="11"/>
    </row>
    <row r="438" spans="18:26" x14ac:dyDescent="0.3">
      <c r="R438" s="10"/>
      <c r="S438" s="10"/>
      <c r="Z438" s="11"/>
    </row>
    <row r="439" spans="18:26" x14ac:dyDescent="0.3">
      <c r="R439" s="10"/>
      <c r="S439" s="10"/>
      <c r="Z439" s="11"/>
    </row>
    <row r="440" spans="18:26" x14ac:dyDescent="0.3">
      <c r="R440" s="10"/>
      <c r="S440" s="10"/>
      <c r="Z440" s="11"/>
    </row>
    <row r="441" spans="18:26" x14ac:dyDescent="0.3">
      <c r="R441" s="10"/>
      <c r="S441" s="10"/>
      <c r="Z441" s="11"/>
    </row>
    <row r="442" spans="18:26" x14ac:dyDescent="0.3">
      <c r="R442" s="10"/>
      <c r="S442" s="10"/>
      <c r="Z442" s="11"/>
    </row>
    <row r="443" spans="18:26" x14ac:dyDescent="0.3">
      <c r="R443" s="10"/>
      <c r="S443" s="10"/>
      <c r="Z443" s="11"/>
    </row>
    <row r="444" spans="18:26" x14ac:dyDescent="0.3">
      <c r="R444" s="10"/>
      <c r="S444" s="10"/>
      <c r="Z444" s="11"/>
    </row>
    <row r="445" spans="18:26" x14ac:dyDescent="0.3">
      <c r="R445" s="10"/>
      <c r="S445" s="10"/>
      <c r="Z445" s="11"/>
    </row>
    <row r="446" spans="18:26" x14ac:dyDescent="0.3">
      <c r="R446" s="10"/>
      <c r="S446" s="10"/>
      <c r="Z446" s="11"/>
    </row>
    <row r="447" spans="18:26" x14ac:dyDescent="0.3">
      <c r="R447" s="10"/>
      <c r="S447" s="10"/>
      <c r="Z447" s="11"/>
    </row>
    <row r="448" spans="18:26" x14ac:dyDescent="0.3">
      <c r="R448" s="10"/>
      <c r="S448" s="10"/>
      <c r="Z448" s="11"/>
    </row>
    <row r="449" spans="18:26" x14ac:dyDescent="0.3">
      <c r="R449" s="10"/>
      <c r="S449" s="10"/>
      <c r="Z449" s="11"/>
    </row>
    <row r="450" spans="18:26" x14ac:dyDescent="0.3">
      <c r="R450" s="10"/>
      <c r="S450" s="10"/>
      <c r="Z450" s="11"/>
    </row>
    <row r="451" spans="18:26" x14ac:dyDescent="0.3">
      <c r="R451" s="10"/>
      <c r="S451" s="10"/>
      <c r="Z451" s="11"/>
    </row>
    <row r="452" spans="18:26" x14ac:dyDescent="0.3">
      <c r="R452" s="10"/>
      <c r="S452" s="10"/>
      <c r="Z452" s="11"/>
    </row>
    <row r="453" spans="18:26" x14ac:dyDescent="0.3">
      <c r="R453" s="10"/>
      <c r="S453" s="10"/>
      <c r="Z453" s="11"/>
    </row>
    <row r="454" spans="18:26" x14ac:dyDescent="0.3">
      <c r="R454" s="10"/>
      <c r="S454" s="10"/>
      <c r="Z454" s="11"/>
    </row>
    <row r="455" spans="18:26" x14ac:dyDescent="0.3">
      <c r="R455" s="10"/>
      <c r="S455" s="10"/>
      <c r="Z455" s="11"/>
    </row>
    <row r="456" spans="18:26" x14ac:dyDescent="0.3">
      <c r="R456" s="10"/>
      <c r="S456" s="10"/>
      <c r="Z456" s="11"/>
    </row>
    <row r="457" spans="18:26" x14ac:dyDescent="0.3">
      <c r="R457" s="10"/>
      <c r="S457" s="10"/>
      <c r="Z457" s="11"/>
    </row>
    <row r="458" spans="18:26" x14ac:dyDescent="0.3">
      <c r="R458" s="10"/>
      <c r="S458" s="10"/>
      <c r="Z458" s="11"/>
    </row>
    <row r="459" spans="18:26" x14ac:dyDescent="0.3">
      <c r="R459" s="10"/>
      <c r="S459" s="10"/>
      <c r="Z459" s="11"/>
    </row>
    <row r="460" spans="18:26" x14ac:dyDescent="0.3">
      <c r="R460" s="10"/>
      <c r="S460" s="10"/>
      <c r="Z460" s="11"/>
    </row>
    <row r="461" spans="18:26" x14ac:dyDescent="0.3">
      <c r="R461" s="10"/>
      <c r="S461" s="10"/>
      <c r="Z461" s="11"/>
    </row>
    <row r="462" spans="18:26" x14ac:dyDescent="0.3">
      <c r="R462" s="10"/>
      <c r="S462" s="10"/>
      <c r="Z462" s="11"/>
    </row>
    <row r="463" spans="18:26" x14ac:dyDescent="0.3">
      <c r="R463" s="10"/>
      <c r="S463" s="10"/>
      <c r="Z463" s="11"/>
    </row>
    <row r="464" spans="18:26" x14ac:dyDescent="0.3">
      <c r="R464" s="10"/>
      <c r="S464" s="10"/>
      <c r="Z464" s="11"/>
    </row>
    <row r="465" spans="18:26" x14ac:dyDescent="0.3">
      <c r="R465" s="10"/>
      <c r="S465" s="10"/>
      <c r="Z465" s="11"/>
    </row>
    <row r="466" spans="18:26" x14ac:dyDescent="0.3">
      <c r="R466" s="10"/>
      <c r="S466" s="10"/>
      <c r="Z466" s="11"/>
    </row>
    <row r="467" spans="18:26" x14ac:dyDescent="0.3">
      <c r="R467" s="10"/>
      <c r="S467" s="10"/>
      <c r="Z467" s="11"/>
    </row>
    <row r="468" spans="18:26" x14ac:dyDescent="0.3">
      <c r="R468" s="10"/>
      <c r="S468" s="10"/>
      <c r="Z468" s="11"/>
    </row>
    <row r="469" spans="18:26" x14ac:dyDescent="0.3">
      <c r="R469" s="10"/>
      <c r="S469" s="10"/>
      <c r="Z469" s="11"/>
    </row>
    <row r="470" spans="18:26" x14ac:dyDescent="0.3">
      <c r="R470" s="10"/>
      <c r="S470" s="10"/>
      <c r="Z470" s="11"/>
    </row>
    <row r="471" spans="18:26" x14ac:dyDescent="0.3">
      <c r="R471" s="10"/>
      <c r="S471" s="10"/>
      <c r="Z471" s="11"/>
    </row>
    <row r="472" spans="18:26" x14ac:dyDescent="0.3">
      <c r="R472" s="10"/>
      <c r="S472" s="10"/>
      <c r="Z472" s="11"/>
    </row>
    <row r="473" spans="18:26" x14ac:dyDescent="0.3">
      <c r="R473" s="10"/>
      <c r="S473" s="10"/>
      <c r="Z473" s="11"/>
    </row>
    <row r="474" spans="18:26" x14ac:dyDescent="0.3">
      <c r="R474" s="10"/>
      <c r="S474" s="10"/>
      <c r="Z474" s="11"/>
    </row>
    <row r="475" spans="18:26" x14ac:dyDescent="0.3">
      <c r="R475" s="10"/>
      <c r="S475" s="10"/>
      <c r="Z475" s="11"/>
    </row>
    <row r="476" spans="18:26" x14ac:dyDescent="0.3">
      <c r="R476" s="10"/>
      <c r="S476" s="10"/>
      <c r="Z476" s="11"/>
    </row>
    <row r="477" spans="18:26" x14ac:dyDescent="0.3">
      <c r="R477" s="10"/>
      <c r="S477" s="10"/>
      <c r="Z477" s="11"/>
    </row>
    <row r="478" spans="18:26" x14ac:dyDescent="0.3">
      <c r="R478" s="10"/>
      <c r="S478" s="10"/>
      <c r="Z478" s="11"/>
    </row>
    <row r="479" spans="18:26" x14ac:dyDescent="0.3">
      <c r="R479" s="10"/>
      <c r="S479" s="10"/>
      <c r="Z479" s="11"/>
    </row>
    <row r="480" spans="18:26" x14ac:dyDescent="0.3">
      <c r="R480" s="10"/>
      <c r="S480" s="10"/>
      <c r="Z480" s="11"/>
    </row>
    <row r="481" spans="18:26" x14ac:dyDescent="0.3">
      <c r="R481" s="10"/>
      <c r="S481" s="10"/>
      <c r="Z481" s="11"/>
    </row>
    <row r="482" spans="18:26" x14ac:dyDescent="0.3">
      <c r="R482" s="10"/>
      <c r="S482" s="10"/>
      <c r="Z482" s="11"/>
    </row>
    <row r="483" spans="18:26" x14ac:dyDescent="0.3">
      <c r="R483" s="10"/>
      <c r="S483" s="10"/>
      <c r="Z483" s="11"/>
    </row>
    <row r="484" spans="18:26" x14ac:dyDescent="0.3">
      <c r="R484" s="10"/>
      <c r="S484" s="10"/>
      <c r="Z484" s="11"/>
    </row>
    <row r="485" spans="18:26" x14ac:dyDescent="0.3">
      <c r="R485" s="10"/>
      <c r="S485" s="10"/>
      <c r="Z485" s="11"/>
    </row>
    <row r="486" spans="18:26" x14ac:dyDescent="0.3">
      <c r="R486" s="10"/>
      <c r="S486" s="10"/>
      <c r="Z486" s="11"/>
    </row>
    <row r="487" spans="18:26" x14ac:dyDescent="0.3">
      <c r="R487" s="10"/>
      <c r="S487" s="10"/>
      <c r="Z487" s="11"/>
    </row>
    <row r="488" spans="18:26" x14ac:dyDescent="0.3">
      <c r="R488" s="10"/>
      <c r="S488" s="10"/>
      <c r="Z488" s="11"/>
    </row>
    <row r="489" spans="18:26" x14ac:dyDescent="0.3">
      <c r="R489" s="10"/>
      <c r="S489" s="10"/>
      <c r="Z489" s="11"/>
    </row>
    <row r="490" spans="18:26" x14ac:dyDescent="0.3">
      <c r="R490" s="10"/>
      <c r="S490" s="10"/>
      <c r="Z490" s="11"/>
    </row>
    <row r="491" spans="18:26" x14ac:dyDescent="0.3">
      <c r="R491" s="10"/>
      <c r="S491" s="10"/>
      <c r="Z491" s="11"/>
    </row>
    <row r="492" spans="18:26" x14ac:dyDescent="0.3">
      <c r="R492" s="10"/>
      <c r="S492" s="10"/>
      <c r="Z492" s="11"/>
    </row>
    <row r="493" spans="18:26" x14ac:dyDescent="0.3">
      <c r="R493" s="10"/>
      <c r="S493" s="10"/>
      <c r="Z493" s="11"/>
    </row>
    <row r="494" spans="18:26" x14ac:dyDescent="0.3">
      <c r="R494" s="10"/>
      <c r="S494" s="10"/>
      <c r="Z494" s="11"/>
    </row>
    <row r="495" spans="18:26" x14ac:dyDescent="0.3">
      <c r="R495" s="10"/>
      <c r="S495" s="10"/>
      <c r="Z495" s="11"/>
    </row>
    <row r="496" spans="18:26" x14ac:dyDescent="0.3">
      <c r="R496" s="10"/>
      <c r="S496" s="10"/>
      <c r="Z496" s="11"/>
    </row>
    <row r="497" spans="18:26" x14ac:dyDescent="0.3">
      <c r="R497" s="10"/>
      <c r="S497" s="10"/>
      <c r="Z497" s="11"/>
    </row>
    <row r="498" spans="18:26" x14ac:dyDescent="0.3">
      <c r="R498" s="10"/>
      <c r="S498" s="10"/>
      <c r="Z498" s="11"/>
    </row>
    <row r="499" spans="18:26" x14ac:dyDescent="0.3">
      <c r="R499" s="10"/>
      <c r="S499" s="10"/>
      <c r="Z499" s="11"/>
    </row>
    <row r="500" spans="18:26" x14ac:dyDescent="0.3">
      <c r="R500" s="10"/>
      <c r="S500" s="10"/>
      <c r="Z500" s="11"/>
    </row>
    <row r="501" spans="18:26" x14ac:dyDescent="0.3">
      <c r="R501" s="10"/>
      <c r="S501" s="10"/>
      <c r="Z501" s="11"/>
    </row>
    <row r="502" spans="18:26" x14ac:dyDescent="0.3">
      <c r="R502" s="10"/>
      <c r="S502" s="10"/>
      <c r="Z502" s="11"/>
    </row>
    <row r="503" spans="18:26" x14ac:dyDescent="0.3">
      <c r="R503" s="10"/>
      <c r="S503" s="10"/>
      <c r="Z503" s="11"/>
    </row>
    <row r="504" spans="18:26" x14ac:dyDescent="0.3">
      <c r="R504" s="10"/>
      <c r="S504" s="10"/>
      <c r="Z504" s="11"/>
    </row>
    <row r="505" spans="18:26" x14ac:dyDescent="0.3">
      <c r="R505" s="10"/>
      <c r="S505" s="10"/>
      <c r="Z505" s="11"/>
    </row>
    <row r="506" spans="18:26" x14ac:dyDescent="0.3">
      <c r="R506" s="10"/>
      <c r="S506" s="10"/>
      <c r="Z506" s="11"/>
    </row>
    <row r="507" spans="18:26" x14ac:dyDescent="0.3">
      <c r="R507" s="10"/>
      <c r="S507" s="10"/>
      <c r="Z507" s="11"/>
    </row>
    <row r="508" spans="18:26" x14ac:dyDescent="0.3">
      <c r="R508" s="10"/>
      <c r="S508" s="10"/>
      <c r="Z508" s="11"/>
    </row>
    <row r="509" spans="18:26" x14ac:dyDescent="0.3">
      <c r="R509" s="10"/>
      <c r="S509" s="10"/>
      <c r="Z509" s="11"/>
    </row>
    <row r="510" spans="18:26" x14ac:dyDescent="0.3">
      <c r="R510" s="10"/>
      <c r="S510" s="10"/>
      <c r="Z510" s="11"/>
    </row>
    <row r="511" spans="18:26" x14ac:dyDescent="0.3">
      <c r="R511" s="10"/>
      <c r="S511" s="10"/>
      <c r="Z511" s="11"/>
    </row>
    <row r="512" spans="18:26" x14ac:dyDescent="0.3">
      <c r="R512" s="10"/>
      <c r="S512" s="10"/>
      <c r="Z512" s="11"/>
    </row>
    <row r="513" spans="18:26" x14ac:dyDescent="0.3">
      <c r="R513" s="10"/>
      <c r="S513" s="10"/>
      <c r="Z513" s="11"/>
    </row>
    <row r="514" spans="18:26" x14ac:dyDescent="0.3">
      <c r="R514" s="10"/>
      <c r="S514" s="10"/>
      <c r="Z514" s="11"/>
    </row>
    <row r="515" spans="18:26" x14ac:dyDescent="0.3">
      <c r="R515" s="10"/>
      <c r="S515" s="10"/>
      <c r="Z515" s="11"/>
    </row>
    <row r="516" spans="18:26" x14ac:dyDescent="0.3">
      <c r="R516" s="10"/>
      <c r="S516" s="10"/>
      <c r="Z516" s="11"/>
    </row>
    <row r="517" spans="18:26" x14ac:dyDescent="0.3">
      <c r="R517" s="10"/>
      <c r="S517" s="10"/>
      <c r="Z517" s="11"/>
    </row>
    <row r="518" spans="18:26" x14ac:dyDescent="0.3">
      <c r="R518" s="10"/>
      <c r="S518" s="10"/>
      <c r="Z518" s="11"/>
    </row>
    <row r="519" spans="18:26" x14ac:dyDescent="0.3">
      <c r="R519" s="10"/>
      <c r="S519" s="10"/>
      <c r="Z519" s="11"/>
    </row>
    <row r="520" spans="18:26" x14ac:dyDescent="0.3">
      <c r="R520" s="10"/>
      <c r="S520" s="10"/>
      <c r="Z520" s="11"/>
    </row>
    <row r="521" spans="18:26" x14ac:dyDescent="0.3">
      <c r="R521" s="10"/>
      <c r="S521" s="10"/>
      <c r="Z521" s="11"/>
    </row>
    <row r="522" spans="18:26" x14ac:dyDescent="0.3">
      <c r="R522" s="10"/>
      <c r="S522" s="10"/>
      <c r="Z522" s="11"/>
    </row>
    <row r="523" spans="18:26" x14ac:dyDescent="0.3">
      <c r="R523" s="10"/>
      <c r="S523" s="10"/>
      <c r="Z523" s="11"/>
    </row>
    <row r="524" spans="18:26" x14ac:dyDescent="0.3">
      <c r="R524" s="10"/>
      <c r="S524" s="10"/>
      <c r="Z524" s="11"/>
    </row>
    <row r="525" spans="18:26" x14ac:dyDescent="0.3">
      <c r="R525" s="10"/>
      <c r="S525" s="10"/>
      <c r="Z525" s="11"/>
    </row>
    <row r="526" spans="18:26" x14ac:dyDescent="0.3">
      <c r="R526" s="10"/>
      <c r="S526" s="10"/>
      <c r="Z526" s="11"/>
    </row>
    <row r="527" spans="18:26" x14ac:dyDescent="0.3">
      <c r="R527" s="10"/>
      <c r="S527" s="10"/>
      <c r="Z527" s="11"/>
    </row>
    <row r="528" spans="18:26" x14ac:dyDescent="0.3">
      <c r="R528" s="10"/>
      <c r="S528" s="10"/>
      <c r="Z528" s="11"/>
    </row>
    <row r="529" spans="18:26" x14ac:dyDescent="0.3">
      <c r="R529" s="10"/>
      <c r="S529" s="10"/>
      <c r="Z529" s="11"/>
    </row>
    <row r="530" spans="18:26" x14ac:dyDescent="0.3">
      <c r="R530" s="10"/>
      <c r="S530" s="10"/>
      <c r="Z530" s="11"/>
    </row>
    <row r="531" spans="18:26" x14ac:dyDescent="0.3">
      <c r="R531" s="10"/>
      <c r="S531" s="10"/>
      <c r="Z531" s="11"/>
    </row>
    <row r="532" spans="18:26" x14ac:dyDescent="0.3">
      <c r="R532" s="10"/>
      <c r="S532" s="10"/>
      <c r="Z532" s="11"/>
    </row>
    <row r="533" spans="18:26" x14ac:dyDescent="0.3">
      <c r="R533" s="10"/>
      <c r="S533" s="10"/>
      <c r="Z533" s="11"/>
    </row>
    <row r="534" spans="18:26" x14ac:dyDescent="0.3">
      <c r="R534" s="10"/>
      <c r="S534" s="10"/>
      <c r="Z534" s="11"/>
    </row>
    <row r="535" spans="18:26" x14ac:dyDescent="0.3">
      <c r="R535" s="10"/>
      <c r="S535" s="10"/>
      <c r="Z535" s="11"/>
    </row>
    <row r="536" spans="18:26" x14ac:dyDescent="0.3">
      <c r="R536" s="10"/>
      <c r="S536" s="10"/>
      <c r="Z536" s="11"/>
    </row>
    <row r="537" spans="18:26" x14ac:dyDescent="0.3">
      <c r="R537" s="10"/>
      <c r="S537" s="10"/>
      <c r="Z537" s="11"/>
    </row>
    <row r="538" spans="18:26" x14ac:dyDescent="0.3">
      <c r="R538" s="10"/>
      <c r="S538" s="10"/>
      <c r="Z538" s="11"/>
    </row>
    <row r="539" spans="18:26" x14ac:dyDescent="0.3">
      <c r="R539" s="10"/>
      <c r="S539" s="10"/>
      <c r="Z539" s="11"/>
    </row>
    <row r="540" spans="18:26" x14ac:dyDescent="0.3">
      <c r="R540" s="10"/>
      <c r="S540" s="10"/>
      <c r="Z540" s="11"/>
    </row>
    <row r="541" spans="18:26" x14ac:dyDescent="0.3">
      <c r="R541" s="10"/>
      <c r="S541" s="10"/>
      <c r="Z541" s="11"/>
    </row>
    <row r="542" spans="18:26" x14ac:dyDescent="0.3">
      <c r="R542" s="10"/>
      <c r="S542" s="10"/>
      <c r="Z542" s="11"/>
    </row>
    <row r="543" spans="18:26" x14ac:dyDescent="0.3">
      <c r="R543" s="10"/>
      <c r="S543" s="10"/>
      <c r="Z543" s="11"/>
    </row>
    <row r="544" spans="18:26" x14ac:dyDescent="0.3">
      <c r="R544" s="10"/>
      <c r="S544" s="10"/>
      <c r="Z544" s="11"/>
    </row>
    <row r="545" spans="18:26" x14ac:dyDescent="0.3">
      <c r="R545" s="10"/>
      <c r="S545" s="10"/>
      <c r="Z545" s="11"/>
    </row>
    <row r="546" spans="18:26" x14ac:dyDescent="0.3">
      <c r="R546" s="10"/>
      <c r="S546" s="10"/>
      <c r="Z546" s="11"/>
    </row>
    <row r="547" spans="18:26" x14ac:dyDescent="0.3">
      <c r="R547" s="10"/>
      <c r="S547" s="10"/>
      <c r="Z547" s="11"/>
    </row>
    <row r="548" spans="18:26" x14ac:dyDescent="0.3">
      <c r="R548" s="10"/>
      <c r="S548" s="10"/>
      <c r="Z548" s="11"/>
    </row>
    <row r="549" spans="18:26" x14ac:dyDescent="0.3">
      <c r="R549" s="10"/>
      <c r="S549" s="10"/>
      <c r="Z549" s="11"/>
    </row>
    <row r="550" spans="18:26" x14ac:dyDescent="0.3">
      <c r="R550" s="10"/>
      <c r="S550" s="10"/>
      <c r="Z550" s="11"/>
    </row>
    <row r="551" spans="18:26" x14ac:dyDescent="0.3">
      <c r="R551" s="10"/>
      <c r="S551" s="10"/>
      <c r="Z551" s="11"/>
    </row>
    <row r="552" spans="18:26" x14ac:dyDescent="0.3">
      <c r="R552" s="10"/>
      <c r="S552" s="10"/>
      <c r="Z552" s="11"/>
    </row>
    <row r="553" spans="18:26" x14ac:dyDescent="0.3">
      <c r="R553" s="10"/>
      <c r="S553" s="10"/>
      <c r="Z553" s="11"/>
    </row>
    <row r="554" spans="18:26" x14ac:dyDescent="0.3">
      <c r="R554" s="10"/>
      <c r="S554" s="10"/>
      <c r="Z554" s="11"/>
    </row>
    <row r="555" spans="18:26" x14ac:dyDescent="0.3">
      <c r="R555" s="10"/>
      <c r="S555" s="10"/>
      <c r="Z555" s="11"/>
    </row>
    <row r="556" spans="18:26" x14ac:dyDescent="0.3">
      <c r="R556" s="10"/>
      <c r="S556" s="10"/>
      <c r="Z556" s="11"/>
    </row>
    <row r="557" spans="18:26" x14ac:dyDescent="0.3">
      <c r="R557" s="10"/>
      <c r="S557" s="10"/>
      <c r="Z557" s="11"/>
    </row>
    <row r="558" spans="18:26" x14ac:dyDescent="0.3">
      <c r="R558" s="10"/>
      <c r="S558" s="10"/>
      <c r="Z558" s="11"/>
    </row>
    <row r="559" spans="18:26" x14ac:dyDescent="0.3">
      <c r="R559" s="10"/>
      <c r="S559" s="10"/>
      <c r="Z559" s="11"/>
    </row>
    <row r="560" spans="18:26" x14ac:dyDescent="0.3">
      <c r="R560" s="10"/>
      <c r="S560" s="10"/>
      <c r="Z560" s="11"/>
    </row>
    <row r="561" spans="18:26" x14ac:dyDescent="0.3">
      <c r="R561" s="10"/>
      <c r="S561" s="10"/>
      <c r="Z561" s="11"/>
    </row>
    <row r="562" spans="18:26" x14ac:dyDescent="0.3">
      <c r="R562" s="10"/>
      <c r="S562" s="10"/>
      <c r="Z562" s="11"/>
    </row>
    <row r="563" spans="18:26" x14ac:dyDescent="0.3">
      <c r="R563" s="10"/>
      <c r="S563" s="10"/>
      <c r="Z563" s="11"/>
    </row>
    <row r="564" spans="18:26" x14ac:dyDescent="0.3">
      <c r="R564" s="10"/>
      <c r="S564" s="10"/>
      <c r="Z564" s="11"/>
    </row>
    <row r="565" spans="18:26" x14ac:dyDescent="0.3">
      <c r="R565" s="10"/>
      <c r="S565" s="10"/>
      <c r="Z565" s="11"/>
    </row>
    <row r="566" spans="18:26" x14ac:dyDescent="0.3">
      <c r="R566" s="10"/>
      <c r="S566" s="10"/>
      <c r="Z566" s="11"/>
    </row>
    <row r="567" spans="18:26" x14ac:dyDescent="0.3">
      <c r="R567" s="10"/>
      <c r="S567" s="10"/>
      <c r="Z567" s="11"/>
    </row>
    <row r="568" spans="18:26" x14ac:dyDescent="0.3">
      <c r="R568" s="10"/>
      <c r="S568" s="10"/>
      <c r="Z568" s="11"/>
    </row>
    <row r="569" spans="18:26" x14ac:dyDescent="0.3">
      <c r="R569" s="10"/>
      <c r="S569" s="10"/>
      <c r="Z569" s="11"/>
    </row>
    <row r="570" spans="18:26" x14ac:dyDescent="0.3">
      <c r="R570" s="10"/>
      <c r="S570" s="10"/>
      <c r="Z570" s="11"/>
    </row>
    <row r="571" spans="18:26" x14ac:dyDescent="0.3">
      <c r="R571" s="10"/>
      <c r="S571" s="10"/>
      <c r="Z571" s="11"/>
    </row>
    <row r="572" spans="18:26" x14ac:dyDescent="0.3">
      <c r="R572" s="10"/>
      <c r="S572" s="10"/>
      <c r="Z572" s="11"/>
    </row>
    <row r="573" spans="18:26" x14ac:dyDescent="0.3">
      <c r="R573" s="10"/>
      <c r="S573" s="10"/>
      <c r="Z573" s="11"/>
    </row>
    <row r="574" spans="18:26" x14ac:dyDescent="0.3">
      <c r="R574" s="10"/>
      <c r="S574" s="10"/>
      <c r="Z574" s="11"/>
    </row>
    <row r="575" spans="18:26" x14ac:dyDescent="0.3">
      <c r="R575" s="10"/>
      <c r="S575" s="10"/>
      <c r="Z575" s="11"/>
    </row>
    <row r="576" spans="18:26" x14ac:dyDescent="0.3">
      <c r="R576" s="10"/>
      <c r="S576" s="10"/>
      <c r="Z576" s="11"/>
    </row>
    <row r="577" spans="18:26" x14ac:dyDescent="0.3">
      <c r="R577" s="10"/>
      <c r="S577" s="10"/>
      <c r="Z577" s="11"/>
    </row>
    <row r="578" spans="18:26" x14ac:dyDescent="0.3">
      <c r="R578" s="10"/>
      <c r="S578" s="10"/>
      <c r="Z578" s="11"/>
    </row>
    <row r="579" spans="18:26" x14ac:dyDescent="0.3">
      <c r="R579" s="10"/>
      <c r="S579" s="10"/>
      <c r="Z579" s="11"/>
    </row>
    <row r="580" spans="18:26" x14ac:dyDescent="0.3">
      <c r="R580" s="10"/>
      <c r="S580" s="10"/>
      <c r="Z580" s="11"/>
    </row>
    <row r="581" spans="18:26" x14ac:dyDescent="0.3">
      <c r="R581" s="10"/>
      <c r="S581" s="10"/>
      <c r="Z581" s="11"/>
    </row>
    <row r="582" spans="18:26" x14ac:dyDescent="0.3">
      <c r="R582" s="10"/>
      <c r="S582" s="10"/>
      <c r="Z582" s="11"/>
    </row>
    <row r="583" spans="18:26" x14ac:dyDescent="0.3">
      <c r="R583" s="10"/>
      <c r="S583" s="10"/>
      <c r="Z583" s="11"/>
    </row>
    <row r="584" spans="18:26" x14ac:dyDescent="0.3">
      <c r="R584" s="10"/>
      <c r="S584" s="10"/>
      <c r="Z584" s="11"/>
    </row>
    <row r="585" spans="18:26" x14ac:dyDescent="0.3">
      <c r="R585" s="10"/>
      <c r="S585" s="10"/>
      <c r="Z585" s="11"/>
    </row>
    <row r="586" spans="18:26" x14ac:dyDescent="0.3">
      <c r="R586" s="10"/>
      <c r="S586" s="10"/>
      <c r="Z586" s="11"/>
    </row>
    <row r="587" spans="18:26" x14ac:dyDescent="0.3">
      <c r="R587" s="10"/>
      <c r="S587" s="10"/>
      <c r="Z587" s="11"/>
    </row>
    <row r="588" spans="18:26" x14ac:dyDescent="0.3">
      <c r="R588" s="10"/>
      <c r="S588" s="10"/>
      <c r="Z588" s="11"/>
    </row>
    <row r="589" spans="18:26" x14ac:dyDescent="0.3">
      <c r="R589" s="10"/>
      <c r="S589" s="10"/>
      <c r="Z589" s="11"/>
    </row>
    <row r="590" spans="18:26" x14ac:dyDescent="0.3">
      <c r="R590" s="10"/>
      <c r="S590" s="10"/>
      <c r="Z590" s="11"/>
    </row>
    <row r="591" spans="18:26" x14ac:dyDescent="0.3">
      <c r="R591" s="10"/>
      <c r="S591" s="10"/>
      <c r="Z591" s="11"/>
    </row>
    <row r="592" spans="18:26" x14ac:dyDescent="0.3">
      <c r="R592" s="10"/>
      <c r="S592" s="10"/>
      <c r="Z592" s="11"/>
    </row>
    <row r="593" spans="18:26" x14ac:dyDescent="0.3">
      <c r="R593" s="10"/>
      <c r="S593" s="10"/>
      <c r="Z593" s="11"/>
    </row>
    <row r="594" spans="18:26" x14ac:dyDescent="0.3">
      <c r="R594" s="10"/>
      <c r="S594" s="10"/>
      <c r="Z594" s="11"/>
    </row>
    <row r="595" spans="18:26" x14ac:dyDescent="0.3">
      <c r="R595" s="10"/>
      <c r="S595" s="10"/>
      <c r="Z595" s="11"/>
    </row>
    <row r="596" spans="18:26" x14ac:dyDescent="0.3">
      <c r="R596" s="10"/>
      <c r="S596" s="10"/>
      <c r="Z596" s="11"/>
    </row>
    <row r="597" spans="18:26" x14ac:dyDescent="0.3">
      <c r="R597" s="10"/>
      <c r="S597" s="10"/>
      <c r="Z597" s="11"/>
    </row>
    <row r="598" spans="18:26" x14ac:dyDescent="0.3">
      <c r="R598" s="10"/>
      <c r="S598" s="10"/>
      <c r="Z598" s="11"/>
    </row>
    <row r="599" spans="18:26" x14ac:dyDescent="0.3">
      <c r="R599" s="10"/>
      <c r="S599" s="10"/>
      <c r="Z599" s="11"/>
    </row>
    <row r="600" spans="18:26" x14ac:dyDescent="0.3">
      <c r="R600" s="10"/>
      <c r="S600" s="10"/>
      <c r="Z600" s="11"/>
    </row>
    <row r="601" spans="18:26" x14ac:dyDescent="0.3">
      <c r="R601" s="10"/>
      <c r="S601" s="10"/>
      <c r="Z601" s="11"/>
    </row>
    <row r="602" spans="18:26" x14ac:dyDescent="0.3">
      <c r="R602" s="10"/>
      <c r="S602" s="10"/>
      <c r="Z602" s="11"/>
    </row>
    <row r="603" spans="18:26" x14ac:dyDescent="0.3">
      <c r="R603" s="10"/>
      <c r="S603" s="10"/>
      <c r="Z603" s="11"/>
    </row>
    <row r="604" spans="18:26" x14ac:dyDescent="0.3">
      <c r="R604" s="10"/>
      <c r="S604" s="10"/>
      <c r="Z604" s="11"/>
    </row>
    <row r="605" spans="18:26" x14ac:dyDescent="0.3">
      <c r="R605" s="10"/>
      <c r="S605" s="10"/>
      <c r="Z605" s="11"/>
    </row>
    <row r="606" spans="18:26" x14ac:dyDescent="0.3">
      <c r="R606" s="10"/>
      <c r="S606" s="10"/>
      <c r="Z606" s="11"/>
    </row>
    <row r="607" spans="18:26" x14ac:dyDescent="0.3">
      <c r="R607" s="10"/>
      <c r="S607" s="10"/>
      <c r="Z607" s="11"/>
    </row>
    <row r="608" spans="18:26" x14ac:dyDescent="0.3">
      <c r="R608" s="10"/>
      <c r="S608" s="10"/>
      <c r="Z608" s="11"/>
    </row>
    <row r="609" spans="18:26" x14ac:dyDescent="0.3">
      <c r="R609" s="10"/>
      <c r="S609" s="10"/>
      <c r="Z609" s="11"/>
    </row>
    <row r="610" spans="18:26" x14ac:dyDescent="0.3">
      <c r="R610" s="10"/>
      <c r="S610" s="10"/>
      <c r="Z610" s="11"/>
    </row>
    <row r="611" spans="18:26" x14ac:dyDescent="0.3">
      <c r="R611" s="10"/>
      <c r="S611" s="10"/>
      <c r="Z611" s="11"/>
    </row>
    <row r="612" spans="18:26" x14ac:dyDescent="0.3">
      <c r="R612" s="10"/>
      <c r="S612" s="10"/>
      <c r="Z612" s="11"/>
    </row>
    <row r="613" spans="18:26" x14ac:dyDescent="0.3">
      <c r="R613" s="10"/>
      <c r="S613" s="10"/>
      <c r="Z613" s="11"/>
    </row>
    <row r="614" spans="18:26" x14ac:dyDescent="0.3">
      <c r="R614" s="10"/>
      <c r="S614" s="10"/>
      <c r="Z614" s="11"/>
    </row>
    <row r="615" spans="18:26" x14ac:dyDescent="0.3">
      <c r="R615" s="10"/>
      <c r="S615" s="10"/>
      <c r="Z615" s="11"/>
    </row>
    <row r="616" spans="18:26" x14ac:dyDescent="0.3">
      <c r="R616" s="10"/>
      <c r="S616" s="10"/>
      <c r="Z616" s="11"/>
    </row>
    <row r="617" spans="18:26" x14ac:dyDescent="0.3">
      <c r="R617" s="10"/>
      <c r="S617" s="10"/>
      <c r="Z617" s="11"/>
    </row>
    <row r="618" spans="18:26" x14ac:dyDescent="0.3">
      <c r="R618" s="10"/>
      <c r="S618" s="10"/>
      <c r="Z618" s="11"/>
    </row>
    <row r="619" spans="18:26" x14ac:dyDescent="0.3">
      <c r="R619" s="10"/>
      <c r="S619" s="10"/>
      <c r="Z619" s="11"/>
    </row>
    <row r="620" spans="18:26" x14ac:dyDescent="0.3">
      <c r="R620" s="10"/>
      <c r="S620" s="10"/>
      <c r="Z620" s="11"/>
    </row>
    <row r="621" spans="18:26" x14ac:dyDescent="0.3">
      <c r="R621" s="10"/>
      <c r="S621" s="10"/>
      <c r="Z621" s="11"/>
    </row>
    <row r="622" spans="18:26" x14ac:dyDescent="0.3">
      <c r="R622" s="10"/>
      <c r="S622" s="10"/>
      <c r="Z622" s="11"/>
    </row>
    <row r="623" spans="18:26" x14ac:dyDescent="0.3">
      <c r="R623" s="10"/>
      <c r="S623" s="10"/>
      <c r="Z623" s="11"/>
    </row>
    <row r="624" spans="18:26" x14ac:dyDescent="0.3">
      <c r="R624" s="10"/>
      <c r="S624" s="10"/>
      <c r="Z624" s="11"/>
    </row>
    <row r="625" spans="18:26" x14ac:dyDescent="0.3">
      <c r="R625" s="10"/>
      <c r="S625" s="10"/>
      <c r="Z625" s="11"/>
    </row>
    <row r="626" spans="18:26" x14ac:dyDescent="0.3">
      <c r="R626" s="10"/>
      <c r="S626" s="10"/>
      <c r="Z626" s="11"/>
    </row>
    <row r="627" spans="18:26" x14ac:dyDescent="0.3">
      <c r="R627" s="10"/>
      <c r="S627" s="10"/>
      <c r="Z627" s="11"/>
    </row>
    <row r="628" spans="18:26" x14ac:dyDescent="0.3">
      <c r="R628" s="10"/>
      <c r="S628" s="10"/>
      <c r="Z628" s="11"/>
    </row>
    <row r="629" spans="18:26" x14ac:dyDescent="0.3">
      <c r="R629" s="10"/>
      <c r="S629" s="10"/>
      <c r="Z629" s="11"/>
    </row>
    <row r="630" spans="18:26" x14ac:dyDescent="0.3">
      <c r="R630" s="10"/>
      <c r="S630" s="10"/>
      <c r="Z630" s="11"/>
    </row>
    <row r="631" spans="18:26" x14ac:dyDescent="0.3">
      <c r="R631" s="10"/>
      <c r="S631" s="10"/>
      <c r="Z631" s="11"/>
    </row>
    <row r="632" spans="18:26" x14ac:dyDescent="0.3">
      <c r="R632" s="10"/>
      <c r="S632" s="10"/>
      <c r="Z632" s="11"/>
    </row>
    <row r="633" spans="18:26" x14ac:dyDescent="0.3">
      <c r="R633" s="10"/>
      <c r="S633" s="10"/>
      <c r="Z633" s="11"/>
    </row>
    <row r="634" spans="18:26" x14ac:dyDescent="0.3">
      <c r="R634" s="10"/>
      <c r="S634" s="10"/>
      <c r="Z634" s="11"/>
    </row>
    <row r="635" spans="18:26" x14ac:dyDescent="0.3">
      <c r="R635" s="10"/>
      <c r="S635" s="10"/>
      <c r="Z635" s="11"/>
    </row>
    <row r="636" spans="18:26" x14ac:dyDescent="0.3">
      <c r="R636" s="10"/>
      <c r="S636" s="10"/>
      <c r="Z636" s="11"/>
    </row>
    <row r="637" spans="18:26" x14ac:dyDescent="0.3">
      <c r="R637" s="10"/>
      <c r="S637" s="10"/>
      <c r="Z637" s="11"/>
    </row>
    <row r="638" spans="18:26" x14ac:dyDescent="0.3">
      <c r="R638" s="10"/>
      <c r="S638" s="10"/>
      <c r="Z638" s="11"/>
    </row>
    <row r="639" spans="18:26" x14ac:dyDescent="0.3">
      <c r="R639" s="10"/>
      <c r="S639" s="10"/>
      <c r="Z639" s="11"/>
    </row>
    <row r="640" spans="18:26" x14ac:dyDescent="0.3">
      <c r="R640" s="10"/>
      <c r="S640" s="10"/>
      <c r="Z640" s="11"/>
    </row>
    <row r="641" spans="18:26" x14ac:dyDescent="0.3">
      <c r="R641" s="10"/>
      <c r="S641" s="10"/>
      <c r="Z641" s="11"/>
    </row>
    <row r="642" spans="18:26" x14ac:dyDescent="0.3">
      <c r="R642" s="10"/>
      <c r="S642" s="10"/>
      <c r="Z642" s="11"/>
    </row>
    <row r="643" spans="18:26" x14ac:dyDescent="0.3">
      <c r="R643" s="10"/>
      <c r="S643" s="10"/>
      <c r="Z643" s="11"/>
    </row>
    <row r="644" spans="18:26" x14ac:dyDescent="0.3">
      <c r="R644" s="10"/>
      <c r="S644" s="10"/>
      <c r="Z644" s="11"/>
    </row>
    <row r="645" spans="18:26" x14ac:dyDescent="0.3">
      <c r="R645" s="10"/>
      <c r="S645" s="10"/>
      <c r="Z645" s="11"/>
    </row>
    <row r="646" spans="18:26" x14ac:dyDescent="0.3">
      <c r="R646" s="10"/>
      <c r="S646" s="10"/>
      <c r="Z646" s="11"/>
    </row>
    <row r="647" spans="18:26" x14ac:dyDescent="0.3">
      <c r="R647" s="10"/>
      <c r="S647" s="10"/>
      <c r="Z647" s="11"/>
    </row>
    <row r="648" spans="18:26" x14ac:dyDescent="0.3">
      <c r="R648" s="10"/>
      <c r="S648" s="10"/>
      <c r="Z648" s="11"/>
    </row>
    <row r="649" spans="18:26" x14ac:dyDescent="0.3">
      <c r="R649" s="10"/>
      <c r="S649" s="10"/>
      <c r="Z649" s="11"/>
    </row>
    <row r="650" spans="18:26" x14ac:dyDescent="0.3">
      <c r="R650" s="10"/>
      <c r="S650" s="10"/>
      <c r="Z650" s="11"/>
    </row>
    <row r="651" spans="18:26" x14ac:dyDescent="0.3">
      <c r="R651" s="10"/>
      <c r="S651" s="10"/>
      <c r="Z651" s="11"/>
    </row>
    <row r="652" spans="18:26" x14ac:dyDescent="0.3">
      <c r="R652" s="10"/>
      <c r="S652" s="10"/>
      <c r="Z652" s="11"/>
    </row>
    <row r="653" spans="18:26" x14ac:dyDescent="0.3">
      <c r="R653" s="10"/>
      <c r="S653" s="10"/>
      <c r="Z653" s="11"/>
    </row>
    <row r="654" spans="18:26" x14ac:dyDescent="0.3">
      <c r="R654" s="10"/>
      <c r="S654" s="10"/>
      <c r="Z654" s="11"/>
    </row>
    <row r="655" spans="18:26" x14ac:dyDescent="0.3">
      <c r="R655" s="10"/>
      <c r="S655" s="10"/>
      <c r="Z655" s="11"/>
    </row>
    <row r="656" spans="18:26" x14ac:dyDescent="0.3">
      <c r="R656" s="10"/>
      <c r="S656" s="10"/>
      <c r="Z656" s="11"/>
    </row>
    <row r="657" spans="18:26" x14ac:dyDescent="0.3">
      <c r="R657" s="10"/>
      <c r="S657" s="10"/>
      <c r="Z657" s="11"/>
    </row>
    <row r="658" spans="18:26" x14ac:dyDescent="0.3">
      <c r="R658" s="10"/>
      <c r="S658" s="10"/>
      <c r="Z658" s="11"/>
    </row>
    <row r="659" spans="18:26" x14ac:dyDescent="0.3">
      <c r="R659" s="10"/>
      <c r="S659" s="10"/>
      <c r="Z659" s="11"/>
    </row>
    <row r="660" spans="18:26" x14ac:dyDescent="0.3">
      <c r="R660" s="10"/>
      <c r="S660" s="10"/>
      <c r="Z660" s="11"/>
    </row>
    <row r="661" spans="18:26" x14ac:dyDescent="0.3">
      <c r="R661" s="10"/>
      <c r="S661" s="10"/>
      <c r="Z661" s="11"/>
    </row>
    <row r="662" spans="18:26" x14ac:dyDescent="0.3">
      <c r="R662" s="10"/>
      <c r="S662" s="10"/>
      <c r="Z662" s="11"/>
    </row>
    <row r="663" spans="18:26" x14ac:dyDescent="0.3">
      <c r="R663" s="10"/>
      <c r="S663" s="10"/>
      <c r="Z663" s="11"/>
    </row>
    <row r="664" spans="18:26" x14ac:dyDescent="0.3">
      <c r="R664" s="10"/>
      <c r="S664" s="10"/>
      <c r="Z664" s="11"/>
    </row>
    <row r="665" spans="18:26" x14ac:dyDescent="0.3">
      <c r="R665" s="10"/>
      <c r="S665" s="10"/>
      <c r="Z665" s="11"/>
    </row>
    <row r="666" spans="18:26" x14ac:dyDescent="0.3">
      <c r="R666" s="10"/>
      <c r="S666" s="10"/>
      <c r="Z666" s="11"/>
    </row>
    <row r="667" spans="18:26" x14ac:dyDescent="0.3">
      <c r="R667" s="10"/>
      <c r="S667" s="10"/>
      <c r="Z667" s="11"/>
    </row>
    <row r="668" spans="18:26" x14ac:dyDescent="0.3">
      <c r="R668" s="10"/>
      <c r="S668" s="10"/>
      <c r="Z668" s="11"/>
    </row>
    <row r="669" spans="18:26" x14ac:dyDescent="0.3">
      <c r="R669" s="10"/>
      <c r="S669" s="10"/>
      <c r="Z669" s="11"/>
    </row>
    <row r="670" spans="18:26" x14ac:dyDescent="0.3">
      <c r="R670" s="10"/>
      <c r="S670" s="10"/>
      <c r="Z670" s="11"/>
    </row>
    <row r="671" spans="18:26" x14ac:dyDescent="0.3">
      <c r="R671" s="10"/>
      <c r="S671" s="10"/>
      <c r="Z671" s="11"/>
    </row>
    <row r="672" spans="18:26" x14ac:dyDescent="0.3">
      <c r="R672" s="10"/>
      <c r="S672" s="10"/>
      <c r="Z672" s="11"/>
    </row>
    <row r="673" spans="18:26" x14ac:dyDescent="0.3">
      <c r="R673" s="10"/>
      <c r="S673" s="10"/>
      <c r="Z673" s="11"/>
    </row>
    <row r="674" spans="18:26" x14ac:dyDescent="0.3">
      <c r="R674" s="10"/>
      <c r="S674" s="10"/>
      <c r="Z674" s="11"/>
    </row>
    <row r="675" spans="18:26" x14ac:dyDescent="0.3">
      <c r="R675" s="10"/>
      <c r="S675" s="10"/>
      <c r="Z675" s="11"/>
    </row>
    <row r="676" spans="18:26" x14ac:dyDescent="0.3">
      <c r="R676" s="10"/>
      <c r="S676" s="10"/>
      <c r="Z676" s="11"/>
    </row>
    <row r="677" spans="18:26" x14ac:dyDescent="0.3">
      <c r="R677" s="10"/>
      <c r="S677" s="10"/>
      <c r="Z677" s="11"/>
    </row>
    <row r="678" spans="18:26" x14ac:dyDescent="0.3">
      <c r="R678" s="10"/>
      <c r="S678" s="10"/>
      <c r="Z678" s="11"/>
    </row>
    <row r="679" spans="18:26" x14ac:dyDescent="0.3">
      <c r="R679" s="10"/>
      <c r="S679" s="10"/>
      <c r="Z679" s="11"/>
    </row>
    <row r="680" spans="18:26" x14ac:dyDescent="0.3">
      <c r="R680" s="10"/>
      <c r="S680" s="10"/>
      <c r="Z680" s="11"/>
    </row>
    <row r="681" spans="18:26" x14ac:dyDescent="0.3">
      <c r="R681" s="10"/>
      <c r="S681" s="10"/>
      <c r="Z681" s="11"/>
    </row>
    <row r="682" spans="18:26" x14ac:dyDescent="0.3">
      <c r="R682" s="10"/>
      <c r="S682" s="10"/>
      <c r="Z682" s="11"/>
    </row>
    <row r="683" spans="18:26" x14ac:dyDescent="0.3">
      <c r="R683" s="10"/>
      <c r="S683" s="10"/>
      <c r="Z683" s="11"/>
    </row>
    <row r="684" spans="18:26" x14ac:dyDescent="0.3">
      <c r="R684" s="10"/>
      <c r="S684" s="10"/>
      <c r="Z684" s="11"/>
    </row>
    <row r="685" spans="18:26" x14ac:dyDescent="0.3">
      <c r="R685" s="10"/>
      <c r="S685" s="10"/>
      <c r="Z685" s="11"/>
    </row>
    <row r="686" spans="18:26" x14ac:dyDescent="0.3">
      <c r="R686" s="10"/>
      <c r="S686" s="10"/>
      <c r="Z686" s="11"/>
    </row>
    <row r="687" spans="18:26" x14ac:dyDescent="0.3">
      <c r="R687" s="10"/>
      <c r="S687" s="10"/>
      <c r="Z687" s="11"/>
    </row>
    <row r="688" spans="18:26" x14ac:dyDescent="0.3">
      <c r="R688" s="10"/>
      <c r="S688" s="10"/>
      <c r="Z688" s="11"/>
    </row>
    <row r="689" spans="18:26" x14ac:dyDescent="0.3">
      <c r="R689" s="10"/>
      <c r="S689" s="10"/>
      <c r="Z689" s="11"/>
    </row>
    <row r="690" spans="18:26" x14ac:dyDescent="0.3">
      <c r="R690" s="10"/>
      <c r="S690" s="10"/>
      <c r="Z690" s="11"/>
    </row>
    <row r="691" spans="18:26" x14ac:dyDescent="0.3">
      <c r="R691" s="10"/>
      <c r="S691" s="10"/>
      <c r="Z691" s="11"/>
    </row>
    <row r="692" spans="18:26" x14ac:dyDescent="0.3">
      <c r="R692" s="10"/>
      <c r="S692" s="10"/>
      <c r="Z692" s="11"/>
    </row>
    <row r="693" spans="18:26" x14ac:dyDescent="0.3">
      <c r="R693" s="10"/>
      <c r="S693" s="10"/>
      <c r="Z693" s="11"/>
    </row>
    <row r="694" spans="18:26" x14ac:dyDescent="0.3">
      <c r="R694" s="10"/>
      <c r="S694" s="10"/>
      <c r="Z694" s="11"/>
    </row>
    <row r="695" spans="18:26" x14ac:dyDescent="0.3">
      <c r="R695" s="10"/>
      <c r="S695" s="10"/>
      <c r="Z695" s="11"/>
    </row>
    <row r="696" spans="18:26" x14ac:dyDescent="0.3">
      <c r="R696" s="10"/>
      <c r="S696" s="10"/>
      <c r="Z696" s="11"/>
    </row>
    <row r="697" spans="18:26" x14ac:dyDescent="0.3">
      <c r="R697" s="10"/>
      <c r="S697" s="10"/>
      <c r="Z697" s="11"/>
    </row>
    <row r="698" spans="18:26" x14ac:dyDescent="0.3">
      <c r="R698" s="10"/>
      <c r="S698" s="10"/>
      <c r="Z698" s="11"/>
    </row>
    <row r="699" spans="18:26" x14ac:dyDescent="0.3">
      <c r="R699" s="10"/>
      <c r="S699" s="10"/>
      <c r="Z699" s="11"/>
    </row>
    <row r="700" spans="18:26" x14ac:dyDescent="0.3">
      <c r="R700" s="10"/>
      <c r="S700" s="10"/>
      <c r="Z700" s="11"/>
    </row>
    <row r="701" spans="18:26" x14ac:dyDescent="0.3">
      <c r="R701" s="10"/>
      <c r="S701" s="10"/>
      <c r="Z701" s="11"/>
    </row>
    <row r="702" spans="18:26" x14ac:dyDescent="0.3">
      <c r="R702" s="10"/>
      <c r="S702" s="10"/>
      <c r="Z702" s="11"/>
    </row>
    <row r="703" spans="18:26" x14ac:dyDescent="0.3">
      <c r="R703" s="10"/>
      <c r="S703" s="10"/>
      <c r="Z703" s="11"/>
    </row>
    <row r="704" spans="18:26" x14ac:dyDescent="0.3">
      <c r="R704" s="10"/>
      <c r="S704" s="10"/>
      <c r="Z704" s="11"/>
    </row>
    <row r="705" spans="18:26" x14ac:dyDescent="0.3">
      <c r="R705" s="10"/>
      <c r="S705" s="10"/>
      <c r="Z705" s="11"/>
    </row>
    <row r="706" spans="18:26" x14ac:dyDescent="0.3">
      <c r="R706" s="10"/>
      <c r="S706" s="10"/>
      <c r="Z706" s="11"/>
    </row>
    <row r="707" spans="18:26" x14ac:dyDescent="0.3">
      <c r="R707" s="10"/>
      <c r="S707" s="10"/>
      <c r="Z707" s="11"/>
    </row>
    <row r="708" spans="18:26" x14ac:dyDescent="0.3">
      <c r="R708" s="10"/>
      <c r="S708" s="10"/>
      <c r="Z708" s="11"/>
    </row>
    <row r="709" spans="18:26" x14ac:dyDescent="0.3">
      <c r="R709" s="10"/>
      <c r="S709" s="10"/>
      <c r="Z709" s="11"/>
    </row>
    <row r="710" spans="18:26" x14ac:dyDescent="0.3">
      <c r="R710" s="10"/>
      <c r="S710" s="10"/>
      <c r="Z710" s="11"/>
    </row>
    <row r="711" spans="18:26" x14ac:dyDescent="0.3">
      <c r="R711" s="10"/>
      <c r="S711" s="10"/>
      <c r="Z711" s="11"/>
    </row>
    <row r="712" spans="18:26" x14ac:dyDescent="0.3">
      <c r="R712" s="10"/>
      <c r="S712" s="10"/>
      <c r="Z712" s="11"/>
    </row>
    <row r="713" spans="18:26" x14ac:dyDescent="0.3">
      <c r="R713" s="10"/>
      <c r="S713" s="10"/>
      <c r="Z713" s="11"/>
    </row>
    <row r="714" spans="18:26" x14ac:dyDescent="0.3">
      <c r="R714" s="10"/>
      <c r="S714" s="10"/>
      <c r="Z714" s="11"/>
    </row>
    <row r="715" spans="18:26" x14ac:dyDescent="0.3">
      <c r="R715" s="10"/>
      <c r="S715" s="10"/>
      <c r="Z715" s="11"/>
    </row>
    <row r="716" spans="18:26" x14ac:dyDescent="0.3">
      <c r="R716" s="10"/>
      <c r="S716" s="10"/>
      <c r="Z716" s="11"/>
    </row>
    <row r="717" spans="18:26" x14ac:dyDescent="0.3">
      <c r="R717" s="10"/>
      <c r="S717" s="10"/>
      <c r="Z717" s="11"/>
    </row>
    <row r="718" spans="18:26" x14ac:dyDescent="0.3">
      <c r="R718" s="10"/>
      <c r="S718" s="10"/>
      <c r="Z718" s="11"/>
    </row>
    <row r="719" spans="18:26" x14ac:dyDescent="0.3">
      <c r="R719" s="10"/>
      <c r="S719" s="10"/>
      <c r="Z719" s="11"/>
    </row>
    <row r="720" spans="18:26" x14ac:dyDescent="0.3">
      <c r="R720" s="10"/>
      <c r="S720" s="10"/>
      <c r="Z720" s="11"/>
    </row>
    <row r="721" spans="18:26" x14ac:dyDescent="0.3">
      <c r="R721" s="10"/>
      <c r="S721" s="10"/>
      <c r="Z721" s="11"/>
    </row>
    <row r="722" spans="18:26" x14ac:dyDescent="0.3">
      <c r="R722" s="10"/>
      <c r="S722" s="10"/>
      <c r="Z722" s="11"/>
    </row>
    <row r="723" spans="18:26" x14ac:dyDescent="0.3">
      <c r="R723" s="10"/>
      <c r="S723" s="10"/>
      <c r="Z723" s="11"/>
    </row>
    <row r="724" spans="18:26" x14ac:dyDescent="0.3">
      <c r="R724" s="10"/>
      <c r="S724" s="10"/>
      <c r="Z724" s="11"/>
    </row>
    <row r="725" spans="18:26" x14ac:dyDescent="0.3">
      <c r="R725" s="10"/>
      <c r="S725" s="10"/>
      <c r="Z725" s="11"/>
    </row>
    <row r="726" spans="18:26" x14ac:dyDescent="0.3">
      <c r="R726" s="10"/>
      <c r="S726" s="10"/>
      <c r="Z726" s="11"/>
    </row>
    <row r="727" spans="18:26" x14ac:dyDescent="0.3">
      <c r="R727" s="10"/>
      <c r="S727" s="10"/>
      <c r="Z727" s="11"/>
    </row>
    <row r="728" spans="18:26" x14ac:dyDescent="0.3">
      <c r="R728" s="10"/>
      <c r="S728" s="10"/>
      <c r="Z728" s="11"/>
    </row>
    <row r="729" spans="18:26" x14ac:dyDescent="0.3">
      <c r="R729" s="10"/>
      <c r="S729" s="10"/>
      <c r="Z729" s="11"/>
    </row>
    <row r="730" spans="18:26" x14ac:dyDescent="0.3">
      <c r="R730" s="10"/>
      <c r="S730" s="10"/>
      <c r="Z730" s="11"/>
    </row>
    <row r="731" spans="18:26" x14ac:dyDescent="0.3">
      <c r="R731" s="10"/>
      <c r="S731" s="10"/>
      <c r="Z731" s="11"/>
    </row>
    <row r="732" spans="18:26" x14ac:dyDescent="0.3">
      <c r="R732" s="10"/>
      <c r="S732" s="10"/>
      <c r="Z732" s="11"/>
    </row>
    <row r="733" spans="18:26" x14ac:dyDescent="0.3">
      <c r="R733" s="10"/>
      <c r="S733" s="10"/>
      <c r="Z733" s="11"/>
    </row>
    <row r="734" spans="18:26" x14ac:dyDescent="0.3">
      <c r="R734" s="10"/>
      <c r="S734" s="10"/>
      <c r="Z734" s="11"/>
    </row>
    <row r="735" spans="18:26" x14ac:dyDescent="0.3">
      <c r="R735" s="10"/>
      <c r="S735" s="10"/>
      <c r="Z735" s="11"/>
    </row>
    <row r="736" spans="18:26" x14ac:dyDescent="0.3">
      <c r="R736" s="10"/>
      <c r="S736" s="10"/>
      <c r="Z736" s="11"/>
    </row>
    <row r="737" spans="18:26" x14ac:dyDescent="0.3">
      <c r="R737" s="10"/>
      <c r="S737" s="10"/>
      <c r="Z737" s="11"/>
    </row>
    <row r="738" spans="18:26" x14ac:dyDescent="0.3">
      <c r="R738" s="10"/>
      <c r="S738" s="10"/>
      <c r="Z738" s="11"/>
    </row>
    <row r="739" spans="18:26" x14ac:dyDescent="0.3">
      <c r="R739" s="10"/>
      <c r="S739" s="10"/>
      <c r="Z739" s="11"/>
    </row>
    <row r="740" spans="18:26" x14ac:dyDescent="0.3">
      <c r="R740" s="10"/>
      <c r="S740" s="10"/>
      <c r="Z740" s="11"/>
    </row>
    <row r="741" spans="18:26" x14ac:dyDescent="0.3">
      <c r="R741" s="10"/>
      <c r="S741" s="10"/>
      <c r="Z741" s="11"/>
    </row>
    <row r="742" spans="18:26" x14ac:dyDescent="0.3">
      <c r="R742" s="10"/>
      <c r="S742" s="10"/>
      <c r="Z742" s="11"/>
    </row>
    <row r="743" spans="18:26" x14ac:dyDescent="0.3">
      <c r="R743" s="10"/>
      <c r="S743" s="10"/>
      <c r="Z743" s="11"/>
    </row>
    <row r="744" spans="18:26" x14ac:dyDescent="0.3">
      <c r="R744" s="10"/>
      <c r="S744" s="10"/>
      <c r="Z744" s="11"/>
    </row>
    <row r="745" spans="18:26" x14ac:dyDescent="0.3">
      <c r="R745" s="10"/>
      <c r="S745" s="10"/>
      <c r="Z745" s="11"/>
    </row>
    <row r="746" spans="18:26" x14ac:dyDescent="0.3">
      <c r="R746" s="10"/>
      <c r="S746" s="10"/>
      <c r="Z746" s="11"/>
    </row>
    <row r="747" spans="18:26" x14ac:dyDescent="0.3">
      <c r="R747" s="10"/>
      <c r="S747" s="10"/>
      <c r="Z747" s="11"/>
    </row>
    <row r="748" spans="18:26" x14ac:dyDescent="0.3">
      <c r="R748" s="10"/>
      <c r="S748" s="10"/>
      <c r="Z748" s="11"/>
    </row>
    <row r="749" spans="18:26" x14ac:dyDescent="0.3">
      <c r="R749" s="10"/>
      <c r="S749" s="10"/>
      <c r="Z749" s="11"/>
    </row>
    <row r="750" spans="18:26" x14ac:dyDescent="0.3">
      <c r="R750" s="10"/>
      <c r="S750" s="10"/>
      <c r="Z750" s="11"/>
    </row>
    <row r="751" spans="18:26" x14ac:dyDescent="0.3">
      <c r="R751" s="10"/>
      <c r="S751" s="10"/>
      <c r="Z751" s="11"/>
    </row>
    <row r="752" spans="18:26" x14ac:dyDescent="0.3">
      <c r="R752" s="10"/>
      <c r="S752" s="10"/>
      <c r="Z752" s="11"/>
    </row>
    <row r="753" spans="18:26" x14ac:dyDescent="0.3">
      <c r="R753" s="10"/>
      <c r="S753" s="10"/>
      <c r="Z753" s="11"/>
    </row>
    <row r="754" spans="18:26" x14ac:dyDescent="0.3">
      <c r="R754" s="10"/>
      <c r="S754" s="10"/>
      <c r="Z754" s="11"/>
    </row>
    <row r="755" spans="18:26" x14ac:dyDescent="0.3">
      <c r="R755" s="10"/>
      <c r="S755" s="10"/>
      <c r="Z755" s="11"/>
    </row>
    <row r="756" spans="18:26" x14ac:dyDescent="0.3">
      <c r="R756" s="10"/>
      <c r="S756" s="10"/>
      <c r="Z756" s="11"/>
    </row>
    <row r="757" spans="18:26" x14ac:dyDescent="0.3">
      <c r="R757" s="10"/>
      <c r="S757" s="10"/>
      <c r="Z757" s="11"/>
    </row>
    <row r="758" spans="18:26" x14ac:dyDescent="0.3">
      <c r="R758" s="10"/>
      <c r="S758" s="10"/>
      <c r="Z758" s="11"/>
    </row>
    <row r="759" spans="18:26" x14ac:dyDescent="0.3">
      <c r="R759" s="10"/>
      <c r="S759" s="10"/>
      <c r="Z759" s="11"/>
    </row>
    <row r="760" spans="18:26" x14ac:dyDescent="0.3">
      <c r="R760" s="10"/>
      <c r="S760" s="10"/>
      <c r="Z760" s="11"/>
    </row>
    <row r="761" spans="18:26" x14ac:dyDescent="0.3">
      <c r="R761" s="10"/>
      <c r="S761" s="10"/>
      <c r="Z761" s="11"/>
    </row>
    <row r="762" spans="18:26" x14ac:dyDescent="0.3">
      <c r="R762" s="10"/>
      <c r="S762" s="10"/>
      <c r="Z762" s="11"/>
    </row>
    <row r="763" spans="18:26" x14ac:dyDescent="0.3">
      <c r="R763" s="10"/>
      <c r="S763" s="10"/>
      <c r="Z763" s="11"/>
    </row>
    <row r="764" spans="18:26" x14ac:dyDescent="0.3">
      <c r="R764" s="10"/>
      <c r="S764" s="10"/>
      <c r="Z764" s="11"/>
    </row>
    <row r="765" spans="18:26" x14ac:dyDescent="0.3">
      <c r="R765" s="10"/>
      <c r="S765" s="10"/>
      <c r="Z765" s="11"/>
    </row>
    <row r="766" spans="18:26" x14ac:dyDescent="0.3">
      <c r="R766" s="10"/>
      <c r="S766" s="10"/>
      <c r="Z766" s="11"/>
    </row>
    <row r="767" spans="18:26" x14ac:dyDescent="0.3">
      <c r="R767" s="10"/>
      <c r="S767" s="10"/>
      <c r="Z767" s="11"/>
    </row>
    <row r="768" spans="18:26" x14ac:dyDescent="0.3">
      <c r="R768" s="10"/>
      <c r="S768" s="10"/>
      <c r="Z768" s="11"/>
    </row>
    <row r="769" spans="18:26" x14ac:dyDescent="0.3">
      <c r="R769" s="10"/>
      <c r="S769" s="10"/>
      <c r="Z769" s="11"/>
    </row>
    <row r="770" spans="18:26" x14ac:dyDescent="0.3">
      <c r="R770" s="10"/>
      <c r="S770" s="10"/>
      <c r="Z770" s="11"/>
    </row>
    <row r="771" spans="18:26" x14ac:dyDescent="0.3">
      <c r="R771" s="10"/>
      <c r="S771" s="10"/>
      <c r="Z771" s="11"/>
    </row>
    <row r="772" spans="18:26" x14ac:dyDescent="0.3">
      <c r="R772" s="10"/>
      <c r="S772" s="10"/>
      <c r="Z772" s="11"/>
    </row>
    <row r="773" spans="18:26" x14ac:dyDescent="0.3">
      <c r="R773" s="10"/>
      <c r="S773" s="10"/>
      <c r="Z773" s="11"/>
    </row>
    <row r="774" spans="18:26" x14ac:dyDescent="0.3">
      <c r="R774" s="10"/>
      <c r="S774" s="10"/>
      <c r="Z774" s="11"/>
    </row>
    <row r="775" spans="18:26" x14ac:dyDescent="0.3">
      <c r="R775" s="10"/>
      <c r="S775" s="10"/>
      <c r="Z775" s="11"/>
    </row>
    <row r="776" spans="18:26" x14ac:dyDescent="0.3">
      <c r="R776" s="10"/>
      <c r="S776" s="10"/>
      <c r="Z776" s="11"/>
    </row>
    <row r="777" spans="18:26" x14ac:dyDescent="0.3">
      <c r="R777" s="10"/>
      <c r="S777" s="10"/>
      <c r="Z777" s="11"/>
    </row>
    <row r="778" spans="18:26" x14ac:dyDescent="0.3">
      <c r="R778" s="10"/>
      <c r="S778" s="10"/>
      <c r="Z778" s="11"/>
    </row>
    <row r="779" spans="18:26" x14ac:dyDescent="0.3">
      <c r="R779" s="10"/>
      <c r="S779" s="10"/>
      <c r="Z779" s="11"/>
    </row>
    <row r="780" spans="18:26" x14ac:dyDescent="0.3">
      <c r="R780" s="10"/>
      <c r="S780" s="10"/>
      <c r="Z780" s="11"/>
    </row>
    <row r="781" spans="18:26" x14ac:dyDescent="0.3">
      <c r="R781" s="10"/>
      <c r="S781" s="10"/>
      <c r="Z781" s="11"/>
    </row>
    <row r="782" spans="18:26" x14ac:dyDescent="0.3">
      <c r="R782" s="10"/>
      <c r="S782" s="10"/>
      <c r="Z782" s="11"/>
    </row>
    <row r="783" spans="18:26" x14ac:dyDescent="0.3">
      <c r="R783" s="10"/>
      <c r="S783" s="10"/>
      <c r="Z783" s="11"/>
    </row>
    <row r="784" spans="18:26" x14ac:dyDescent="0.3">
      <c r="R784" s="10"/>
      <c r="S784" s="10"/>
      <c r="Z784" s="11"/>
    </row>
    <row r="785" spans="18:26" x14ac:dyDescent="0.3">
      <c r="R785" s="10"/>
      <c r="S785" s="10"/>
      <c r="Z785" s="11"/>
    </row>
    <row r="786" spans="18:26" x14ac:dyDescent="0.3">
      <c r="R786" s="10"/>
      <c r="S786" s="10"/>
      <c r="Z786" s="11"/>
    </row>
    <row r="787" spans="18:26" x14ac:dyDescent="0.3">
      <c r="R787" s="10"/>
      <c r="S787" s="10"/>
      <c r="Z787" s="11"/>
    </row>
    <row r="788" spans="18:26" x14ac:dyDescent="0.3">
      <c r="R788" s="10"/>
      <c r="S788" s="10"/>
      <c r="Z788" s="11"/>
    </row>
    <row r="789" spans="18:26" x14ac:dyDescent="0.3">
      <c r="R789" s="10"/>
      <c r="S789" s="10"/>
      <c r="Z789" s="11"/>
    </row>
    <row r="790" spans="18:26" x14ac:dyDescent="0.3">
      <c r="R790" s="10"/>
      <c r="S790" s="10"/>
      <c r="Z790" s="11"/>
    </row>
    <row r="791" spans="18:26" x14ac:dyDescent="0.3">
      <c r="R791" s="10"/>
      <c r="S791" s="10"/>
      <c r="Z791" s="11"/>
    </row>
    <row r="792" spans="18:26" x14ac:dyDescent="0.3">
      <c r="R792" s="10"/>
      <c r="S792" s="10"/>
      <c r="Z792" s="11"/>
    </row>
    <row r="793" spans="18:26" x14ac:dyDescent="0.3">
      <c r="R793" s="10"/>
      <c r="S793" s="10"/>
      <c r="Z793" s="11"/>
    </row>
    <row r="794" spans="18:26" x14ac:dyDescent="0.3">
      <c r="R794" s="10"/>
      <c r="S794" s="10"/>
      <c r="Z794" s="11"/>
    </row>
    <row r="795" spans="18:26" x14ac:dyDescent="0.3">
      <c r="R795" s="10"/>
      <c r="S795" s="10"/>
      <c r="Z795" s="11"/>
    </row>
    <row r="796" spans="18:26" x14ac:dyDescent="0.3">
      <c r="R796" s="10"/>
      <c r="S796" s="10"/>
      <c r="Z796" s="11"/>
    </row>
    <row r="797" spans="18:26" x14ac:dyDescent="0.3">
      <c r="R797" s="10"/>
      <c r="S797" s="10"/>
      <c r="Z797" s="11"/>
    </row>
    <row r="798" spans="18:26" x14ac:dyDescent="0.3">
      <c r="R798" s="10"/>
      <c r="S798" s="10"/>
      <c r="Z798" s="11"/>
    </row>
    <row r="799" spans="18:26" x14ac:dyDescent="0.3">
      <c r="R799" s="10"/>
      <c r="S799" s="10"/>
      <c r="Z799" s="11"/>
    </row>
    <row r="800" spans="18:26" x14ac:dyDescent="0.3">
      <c r="R800" s="10"/>
      <c r="S800" s="10"/>
      <c r="Z800" s="11"/>
    </row>
    <row r="801" spans="18:26" x14ac:dyDescent="0.3">
      <c r="R801" s="10"/>
      <c r="S801" s="10"/>
      <c r="Z801" s="11"/>
    </row>
    <row r="802" spans="18:26" x14ac:dyDescent="0.3">
      <c r="R802" s="10"/>
      <c r="S802" s="10"/>
      <c r="Z802" s="11"/>
    </row>
    <row r="803" spans="18:26" x14ac:dyDescent="0.3">
      <c r="R803" s="10"/>
      <c r="S803" s="10"/>
      <c r="Z803" s="11"/>
    </row>
    <row r="804" spans="18:26" x14ac:dyDescent="0.3">
      <c r="R804" s="10"/>
      <c r="S804" s="10"/>
      <c r="Z804" s="11"/>
    </row>
    <row r="805" spans="18:26" x14ac:dyDescent="0.3">
      <c r="R805" s="10"/>
      <c r="S805" s="10"/>
      <c r="Z805" s="11"/>
    </row>
    <row r="806" spans="18:26" x14ac:dyDescent="0.3">
      <c r="R806" s="10"/>
      <c r="S806" s="10"/>
      <c r="Z806" s="11"/>
    </row>
    <row r="807" spans="18:26" x14ac:dyDescent="0.3">
      <c r="R807" s="10"/>
      <c r="S807" s="10"/>
      <c r="Z807" s="11"/>
    </row>
    <row r="808" spans="18:26" x14ac:dyDescent="0.3">
      <c r="R808" s="10"/>
      <c r="S808" s="10"/>
      <c r="Z808" s="11"/>
    </row>
    <row r="809" spans="18:26" x14ac:dyDescent="0.3">
      <c r="R809" s="10"/>
      <c r="S809" s="10"/>
      <c r="Z809" s="11"/>
    </row>
    <row r="810" spans="18:26" x14ac:dyDescent="0.3">
      <c r="R810" s="10"/>
      <c r="S810" s="10"/>
      <c r="Z810" s="11"/>
    </row>
    <row r="811" spans="18:26" x14ac:dyDescent="0.3">
      <c r="R811" s="10"/>
      <c r="S811" s="10"/>
      <c r="Z811" s="11"/>
    </row>
    <row r="812" spans="18:26" x14ac:dyDescent="0.3">
      <c r="R812" s="10"/>
      <c r="S812" s="10"/>
      <c r="Z812" s="11"/>
    </row>
    <row r="813" spans="18:26" x14ac:dyDescent="0.3">
      <c r="R813" s="10"/>
      <c r="S813" s="10"/>
      <c r="Z813" s="11"/>
    </row>
    <row r="814" spans="18:26" x14ac:dyDescent="0.3">
      <c r="R814" s="10"/>
      <c r="S814" s="10"/>
      <c r="Z814" s="11"/>
    </row>
    <row r="815" spans="18:26" x14ac:dyDescent="0.3">
      <c r="R815" s="10"/>
      <c r="S815" s="10"/>
      <c r="Z815" s="11"/>
    </row>
    <row r="816" spans="18:26" x14ac:dyDescent="0.3">
      <c r="R816" s="10"/>
      <c r="S816" s="10"/>
      <c r="Z816" s="11"/>
    </row>
    <row r="817" spans="18:26" x14ac:dyDescent="0.3">
      <c r="R817" s="10"/>
      <c r="S817" s="10"/>
      <c r="Z817" s="11"/>
    </row>
    <row r="818" spans="18:26" x14ac:dyDescent="0.3">
      <c r="R818" s="10"/>
      <c r="S818" s="10"/>
      <c r="Z818" s="11"/>
    </row>
    <row r="819" spans="18:26" x14ac:dyDescent="0.3">
      <c r="R819" s="10"/>
      <c r="S819" s="10"/>
      <c r="Z819" s="11"/>
    </row>
    <row r="820" spans="18:26" x14ac:dyDescent="0.3">
      <c r="R820" s="10"/>
      <c r="S820" s="10"/>
      <c r="Z820" s="11"/>
    </row>
    <row r="821" spans="18:26" x14ac:dyDescent="0.3">
      <c r="R821" s="10"/>
      <c r="S821" s="10"/>
      <c r="Z821" s="11"/>
    </row>
    <row r="822" spans="18:26" x14ac:dyDescent="0.3">
      <c r="R822" s="10"/>
      <c r="S822" s="10"/>
      <c r="Z822" s="11"/>
    </row>
    <row r="823" spans="18:26" x14ac:dyDescent="0.3">
      <c r="R823" s="10"/>
      <c r="S823" s="10"/>
      <c r="Z823" s="11"/>
    </row>
    <row r="824" spans="18:26" x14ac:dyDescent="0.3">
      <c r="R824" s="10"/>
      <c r="S824" s="10"/>
      <c r="Z824" s="11"/>
    </row>
    <row r="825" spans="18:26" x14ac:dyDescent="0.3">
      <c r="R825" s="10"/>
      <c r="S825" s="10"/>
      <c r="Z825" s="11"/>
    </row>
    <row r="826" spans="18:26" x14ac:dyDescent="0.3">
      <c r="R826" s="10"/>
      <c r="S826" s="10"/>
      <c r="Z826" s="11"/>
    </row>
    <row r="827" spans="18:26" x14ac:dyDescent="0.3">
      <c r="R827" s="10"/>
      <c r="S827" s="10"/>
      <c r="Z827" s="11"/>
    </row>
    <row r="828" spans="18:26" x14ac:dyDescent="0.3">
      <c r="R828" s="10"/>
      <c r="S828" s="10"/>
      <c r="Z828" s="11"/>
    </row>
    <row r="829" spans="18:26" x14ac:dyDescent="0.3">
      <c r="R829" s="10"/>
      <c r="S829" s="10"/>
      <c r="Z829" s="11"/>
    </row>
    <row r="830" spans="18:26" x14ac:dyDescent="0.3">
      <c r="R830" s="10"/>
      <c r="S830" s="10"/>
      <c r="Z830" s="11"/>
    </row>
    <row r="831" spans="18:26" x14ac:dyDescent="0.3">
      <c r="R831" s="10"/>
      <c r="S831" s="10"/>
      <c r="Z831" s="11"/>
    </row>
    <row r="832" spans="18:26" x14ac:dyDescent="0.3">
      <c r="R832" s="10"/>
      <c r="S832" s="10"/>
      <c r="Z832" s="11"/>
    </row>
    <row r="833" spans="18:26" x14ac:dyDescent="0.3">
      <c r="R833" s="10"/>
      <c r="S833" s="10"/>
      <c r="Z833" s="11"/>
    </row>
    <row r="834" spans="18:26" x14ac:dyDescent="0.3">
      <c r="R834" s="10"/>
      <c r="S834" s="10"/>
      <c r="Z834" s="11"/>
    </row>
    <row r="835" spans="18:26" x14ac:dyDescent="0.3">
      <c r="R835" s="10"/>
      <c r="S835" s="10"/>
      <c r="Z835" s="11"/>
    </row>
    <row r="836" spans="18:26" x14ac:dyDescent="0.3">
      <c r="R836" s="10"/>
      <c r="S836" s="10"/>
      <c r="Z836" s="11"/>
    </row>
    <row r="837" spans="18:26" x14ac:dyDescent="0.3">
      <c r="R837" s="10"/>
      <c r="S837" s="10"/>
      <c r="Z837" s="11"/>
    </row>
    <row r="838" spans="18:26" x14ac:dyDescent="0.3">
      <c r="R838" s="10"/>
      <c r="S838" s="10"/>
      <c r="Z838" s="11"/>
    </row>
    <row r="839" spans="18:26" x14ac:dyDescent="0.3">
      <c r="R839" s="10"/>
      <c r="S839" s="10"/>
      <c r="Z839" s="11"/>
    </row>
    <row r="840" spans="18:26" x14ac:dyDescent="0.3">
      <c r="R840" s="10"/>
      <c r="S840" s="10"/>
      <c r="Z840" s="11"/>
    </row>
    <row r="841" spans="18:26" x14ac:dyDescent="0.3">
      <c r="R841" s="10"/>
      <c r="S841" s="10"/>
      <c r="Z841" s="11"/>
    </row>
    <row r="842" spans="18:26" x14ac:dyDescent="0.3">
      <c r="R842" s="10"/>
      <c r="S842" s="10"/>
      <c r="Z842" s="11"/>
    </row>
    <row r="843" spans="18:26" x14ac:dyDescent="0.3">
      <c r="R843" s="10"/>
      <c r="S843" s="10"/>
      <c r="Z843" s="11"/>
    </row>
    <row r="844" spans="18:26" x14ac:dyDescent="0.3">
      <c r="R844" s="10"/>
      <c r="S844" s="10"/>
      <c r="Z844" s="11"/>
    </row>
    <row r="845" spans="18:26" x14ac:dyDescent="0.3">
      <c r="R845" s="10"/>
      <c r="S845" s="10"/>
      <c r="Z845" s="11"/>
    </row>
    <row r="846" spans="18:26" x14ac:dyDescent="0.3">
      <c r="R846" s="10"/>
      <c r="S846" s="10"/>
      <c r="Z846" s="11"/>
    </row>
    <row r="847" spans="18:26" x14ac:dyDescent="0.3">
      <c r="R847" s="10"/>
      <c r="S847" s="10"/>
      <c r="Z847" s="11"/>
    </row>
    <row r="848" spans="18:26" x14ac:dyDescent="0.3">
      <c r="R848" s="10"/>
      <c r="S848" s="10"/>
      <c r="Z848" s="11"/>
    </row>
    <row r="849" spans="18:26" x14ac:dyDescent="0.3">
      <c r="R849" s="10"/>
      <c r="S849" s="10"/>
      <c r="Z849" s="11"/>
    </row>
    <row r="850" spans="18:26" x14ac:dyDescent="0.3">
      <c r="R850" s="10"/>
      <c r="S850" s="10"/>
      <c r="Z850" s="11"/>
    </row>
    <row r="851" spans="18:26" x14ac:dyDescent="0.3">
      <c r="R851" s="10"/>
      <c r="S851" s="10"/>
      <c r="Z851" s="11"/>
    </row>
    <row r="852" spans="18:26" x14ac:dyDescent="0.3">
      <c r="R852" s="10"/>
      <c r="S852" s="10"/>
      <c r="Z852" s="11"/>
    </row>
    <row r="853" spans="18:26" x14ac:dyDescent="0.3">
      <c r="R853" s="10"/>
      <c r="S853" s="10"/>
      <c r="Z853" s="11"/>
    </row>
    <row r="854" spans="18:26" x14ac:dyDescent="0.3">
      <c r="R854" s="10"/>
      <c r="S854" s="10"/>
      <c r="Z854" s="11"/>
    </row>
    <row r="855" spans="18:26" x14ac:dyDescent="0.3">
      <c r="R855" s="10"/>
      <c r="S855" s="10"/>
      <c r="Z855" s="11"/>
    </row>
    <row r="856" spans="18:26" x14ac:dyDescent="0.3">
      <c r="R856" s="10"/>
      <c r="S856" s="10"/>
      <c r="Z856" s="11"/>
    </row>
    <row r="857" spans="18:26" x14ac:dyDescent="0.3">
      <c r="R857" s="10"/>
      <c r="S857" s="10"/>
      <c r="Z857" s="11"/>
    </row>
    <row r="858" spans="18:26" x14ac:dyDescent="0.3">
      <c r="R858" s="10"/>
      <c r="S858" s="10"/>
      <c r="Z858" s="11"/>
    </row>
    <row r="859" spans="18:26" x14ac:dyDescent="0.3">
      <c r="R859" s="10"/>
      <c r="S859" s="10"/>
      <c r="Z859" s="11"/>
    </row>
    <row r="860" spans="18:26" x14ac:dyDescent="0.3">
      <c r="R860" s="10"/>
      <c r="S860" s="10"/>
      <c r="Z860" s="11"/>
    </row>
    <row r="861" spans="18:26" x14ac:dyDescent="0.3">
      <c r="R861" s="10"/>
      <c r="S861" s="10"/>
      <c r="Z861" s="11"/>
    </row>
    <row r="862" spans="18:26" x14ac:dyDescent="0.3">
      <c r="R862" s="10"/>
      <c r="S862" s="10"/>
      <c r="Z862" s="11"/>
    </row>
    <row r="863" spans="18:26" x14ac:dyDescent="0.3">
      <c r="R863" s="10"/>
      <c r="S863" s="10"/>
      <c r="Z863" s="11"/>
    </row>
    <row r="864" spans="18:26" x14ac:dyDescent="0.3">
      <c r="R864" s="10"/>
      <c r="S864" s="10"/>
      <c r="Z864" s="11"/>
    </row>
    <row r="865" spans="18:26" x14ac:dyDescent="0.3">
      <c r="R865" s="10"/>
      <c r="S865" s="10"/>
      <c r="Z865" s="11"/>
    </row>
    <row r="866" spans="18:26" x14ac:dyDescent="0.3">
      <c r="R866" s="10"/>
      <c r="S866" s="10"/>
      <c r="Z866" s="11"/>
    </row>
    <row r="867" spans="18:26" x14ac:dyDescent="0.3">
      <c r="R867" s="10"/>
      <c r="S867" s="10"/>
      <c r="Z867" s="11"/>
    </row>
    <row r="868" spans="18:26" x14ac:dyDescent="0.3">
      <c r="R868" s="10"/>
      <c r="S868" s="10"/>
      <c r="Z868" s="11"/>
    </row>
    <row r="869" spans="18:26" x14ac:dyDescent="0.3">
      <c r="R869" s="10"/>
      <c r="S869" s="10"/>
      <c r="Z869" s="11"/>
    </row>
    <row r="870" spans="18:26" x14ac:dyDescent="0.3">
      <c r="R870" s="10"/>
      <c r="S870" s="10"/>
      <c r="Z870" s="11"/>
    </row>
    <row r="871" spans="18:26" x14ac:dyDescent="0.3">
      <c r="R871" s="10"/>
      <c r="S871" s="10"/>
      <c r="Z871" s="11"/>
    </row>
    <row r="872" spans="18:26" x14ac:dyDescent="0.3">
      <c r="R872" s="10"/>
      <c r="S872" s="10"/>
      <c r="Z872" s="11"/>
    </row>
    <row r="873" spans="18:26" x14ac:dyDescent="0.3">
      <c r="R873" s="10"/>
      <c r="S873" s="10"/>
      <c r="Z873" s="11"/>
    </row>
    <row r="874" spans="18:26" x14ac:dyDescent="0.3">
      <c r="R874" s="10"/>
      <c r="S874" s="10"/>
      <c r="Z874" s="11"/>
    </row>
    <row r="875" spans="18:26" x14ac:dyDescent="0.3">
      <c r="R875" s="10"/>
      <c r="S875" s="10"/>
      <c r="Z875" s="11"/>
    </row>
    <row r="876" spans="18:26" x14ac:dyDescent="0.3">
      <c r="R876" s="10"/>
      <c r="S876" s="10"/>
      <c r="Z876" s="11"/>
    </row>
    <row r="877" spans="18:26" x14ac:dyDescent="0.3">
      <c r="R877" s="10"/>
      <c r="S877" s="10"/>
      <c r="Z877" s="11"/>
    </row>
    <row r="878" spans="18:26" x14ac:dyDescent="0.3">
      <c r="R878" s="10"/>
      <c r="S878" s="10"/>
      <c r="Z878" s="11"/>
    </row>
    <row r="879" spans="18:26" x14ac:dyDescent="0.3">
      <c r="R879" s="10"/>
      <c r="S879" s="10"/>
      <c r="Z879" s="11"/>
    </row>
    <row r="880" spans="18:26" x14ac:dyDescent="0.3">
      <c r="R880" s="10"/>
      <c r="S880" s="10"/>
      <c r="Z880" s="11"/>
    </row>
    <row r="881" spans="18:26" x14ac:dyDescent="0.3">
      <c r="R881" s="10"/>
      <c r="S881" s="10"/>
      <c r="Z881" s="11"/>
    </row>
    <row r="882" spans="18:26" x14ac:dyDescent="0.3">
      <c r="R882" s="10"/>
      <c r="S882" s="10"/>
      <c r="Z882" s="11"/>
    </row>
    <row r="883" spans="18:26" x14ac:dyDescent="0.3">
      <c r="R883" s="10"/>
      <c r="S883" s="10"/>
      <c r="Z883" s="11"/>
    </row>
    <row r="884" spans="18:26" x14ac:dyDescent="0.3">
      <c r="R884" s="10"/>
      <c r="S884" s="10"/>
      <c r="Z884" s="11"/>
    </row>
    <row r="885" spans="18:26" x14ac:dyDescent="0.3">
      <c r="R885" s="10"/>
      <c r="S885" s="10"/>
      <c r="Z885" s="11"/>
    </row>
    <row r="886" spans="18:26" x14ac:dyDescent="0.3">
      <c r="R886" s="10"/>
      <c r="S886" s="10"/>
      <c r="Z886" s="11"/>
    </row>
    <row r="887" spans="18:26" x14ac:dyDescent="0.3">
      <c r="R887" s="10"/>
      <c r="S887" s="10"/>
      <c r="Z887" s="11"/>
    </row>
    <row r="888" spans="18:26" x14ac:dyDescent="0.3">
      <c r="R888" s="10"/>
      <c r="S888" s="10"/>
      <c r="Z888" s="11"/>
    </row>
    <row r="889" spans="18:26" x14ac:dyDescent="0.3">
      <c r="R889" s="10"/>
      <c r="S889" s="10"/>
      <c r="Z889" s="11"/>
    </row>
    <row r="890" spans="18:26" x14ac:dyDescent="0.3">
      <c r="R890" s="10"/>
      <c r="S890" s="10"/>
      <c r="Z890" s="11"/>
    </row>
    <row r="891" spans="18:26" x14ac:dyDescent="0.3">
      <c r="R891" s="10"/>
      <c r="S891" s="10"/>
      <c r="Z891" s="11"/>
    </row>
    <row r="892" spans="18:26" x14ac:dyDescent="0.3">
      <c r="R892" s="10"/>
      <c r="S892" s="10"/>
      <c r="Z892" s="11"/>
    </row>
    <row r="893" spans="18:26" x14ac:dyDescent="0.3">
      <c r="R893" s="10"/>
      <c r="S893" s="10"/>
      <c r="Z893" s="11"/>
    </row>
    <row r="894" spans="18:26" x14ac:dyDescent="0.3">
      <c r="R894" s="10"/>
      <c r="S894" s="10"/>
      <c r="Z894" s="11"/>
    </row>
    <row r="895" spans="18:26" x14ac:dyDescent="0.3">
      <c r="R895" s="10"/>
      <c r="S895" s="10"/>
      <c r="Z895" s="11"/>
    </row>
    <row r="896" spans="18:26" x14ac:dyDescent="0.3">
      <c r="R896" s="10"/>
      <c r="S896" s="10"/>
      <c r="Z896" s="11"/>
    </row>
    <row r="897" spans="18:26" x14ac:dyDescent="0.3">
      <c r="R897" s="10"/>
      <c r="S897" s="10"/>
      <c r="Z897" s="11"/>
    </row>
    <row r="898" spans="18:26" x14ac:dyDescent="0.3">
      <c r="R898" s="10"/>
      <c r="S898" s="10"/>
      <c r="Z898" s="11"/>
    </row>
    <row r="899" spans="18:26" x14ac:dyDescent="0.3">
      <c r="R899" s="10"/>
      <c r="S899" s="10"/>
      <c r="Z899" s="11"/>
    </row>
    <row r="900" spans="18:26" x14ac:dyDescent="0.3">
      <c r="R900" s="10"/>
      <c r="S900" s="10"/>
      <c r="Z900" s="11"/>
    </row>
    <row r="901" spans="18:26" x14ac:dyDescent="0.3">
      <c r="R901" s="10"/>
      <c r="S901" s="10"/>
      <c r="Z901" s="11"/>
    </row>
    <row r="902" spans="18:26" x14ac:dyDescent="0.3">
      <c r="R902" s="10"/>
      <c r="S902" s="10"/>
      <c r="Z902" s="11"/>
    </row>
    <row r="903" spans="18:26" x14ac:dyDescent="0.3">
      <c r="R903" s="10"/>
      <c r="S903" s="10"/>
      <c r="Z903" s="11"/>
    </row>
    <row r="904" spans="18:26" x14ac:dyDescent="0.3">
      <c r="R904" s="10"/>
      <c r="S904" s="10"/>
      <c r="Z904" s="11"/>
    </row>
    <row r="905" spans="18:26" x14ac:dyDescent="0.3">
      <c r="R905" s="10"/>
      <c r="S905" s="10"/>
      <c r="Z905" s="11"/>
    </row>
    <row r="906" spans="18:26" x14ac:dyDescent="0.3">
      <c r="R906" s="10"/>
      <c r="S906" s="10"/>
      <c r="Z906" s="11"/>
    </row>
    <row r="907" spans="18:26" x14ac:dyDescent="0.3">
      <c r="R907" s="10"/>
      <c r="S907" s="10"/>
      <c r="Z907" s="11"/>
    </row>
    <row r="908" spans="18:26" x14ac:dyDescent="0.3">
      <c r="R908" s="10"/>
      <c r="S908" s="10"/>
      <c r="Z908" s="11"/>
    </row>
    <row r="909" spans="18:26" x14ac:dyDescent="0.3">
      <c r="R909" s="10"/>
      <c r="S909" s="10"/>
      <c r="Z909" s="11"/>
    </row>
    <row r="910" spans="18:26" x14ac:dyDescent="0.3">
      <c r="R910" s="10"/>
      <c r="S910" s="10"/>
      <c r="Z910" s="11"/>
    </row>
    <row r="911" spans="18:26" x14ac:dyDescent="0.3">
      <c r="R911" s="10"/>
      <c r="S911" s="10"/>
      <c r="Z911" s="11"/>
    </row>
    <row r="912" spans="18:26" x14ac:dyDescent="0.3">
      <c r="R912" s="10"/>
      <c r="S912" s="10"/>
      <c r="Z912" s="11"/>
    </row>
    <row r="913" spans="18:26" x14ac:dyDescent="0.3">
      <c r="R913" s="10"/>
      <c r="S913" s="10"/>
      <c r="Z913" s="11"/>
    </row>
    <row r="914" spans="18:26" x14ac:dyDescent="0.3">
      <c r="R914" s="10"/>
      <c r="S914" s="10"/>
      <c r="Z914" s="11"/>
    </row>
    <row r="915" spans="18:26" x14ac:dyDescent="0.3">
      <c r="R915" s="10"/>
      <c r="S915" s="10"/>
      <c r="Z915" s="11"/>
    </row>
    <row r="916" spans="18:26" x14ac:dyDescent="0.3">
      <c r="R916" s="10"/>
      <c r="S916" s="10"/>
      <c r="Z916" s="11"/>
    </row>
    <row r="917" spans="18:26" x14ac:dyDescent="0.3">
      <c r="R917" s="10"/>
      <c r="S917" s="10"/>
      <c r="Z917" s="11"/>
    </row>
    <row r="918" spans="18:26" x14ac:dyDescent="0.3">
      <c r="R918" s="10"/>
      <c r="S918" s="10"/>
      <c r="Z918" s="11"/>
    </row>
    <row r="919" spans="18:26" x14ac:dyDescent="0.3">
      <c r="R919" s="10"/>
      <c r="S919" s="10"/>
      <c r="Z919" s="11"/>
    </row>
    <row r="920" spans="18:26" x14ac:dyDescent="0.3">
      <c r="R920" s="10"/>
      <c r="S920" s="10"/>
      <c r="Z920" s="11"/>
    </row>
    <row r="921" spans="18:26" x14ac:dyDescent="0.3">
      <c r="R921" s="10"/>
      <c r="S921" s="10"/>
      <c r="Z921" s="11"/>
    </row>
    <row r="922" spans="18:26" x14ac:dyDescent="0.3">
      <c r="R922" s="10"/>
      <c r="S922" s="10"/>
      <c r="Z922" s="11"/>
    </row>
    <row r="923" spans="18:26" x14ac:dyDescent="0.3">
      <c r="R923" s="10"/>
      <c r="S923" s="10"/>
      <c r="Z923" s="11"/>
    </row>
    <row r="924" spans="18:26" x14ac:dyDescent="0.3">
      <c r="R924" s="10"/>
      <c r="S924" s="10"/>
      <c r="Z924" s="11"/>
    </row>
    <row r="925" spans="18:26" x14ac:dyDescent="0.3">
      <c r="R925" s="10"/>
      <c r="S925" s="10"/>
      <c r="Z925" s="11"/>
    </row>
    <row r="926" spans="18:26" x14ac:dyDescent="0.3">
      <c r="R926" s="10"/>
      <c r="S926" s="10"/>
      <c r="Z926" s="11"/>
    </row>
    <row r="927" spans="18:26" x14ac:dyDescent="0.3">
      <c r="R927" s="10"/>
      <c r="S927" s="10"/>
      <c r="Z927" s="11"/>
    </row>
    <row r="928" spans="18:26" x14ac:dyDescent="0.3">
      <c r="R928" s="10"/>
      <c r="S928" s="10"/>
      <c r="Z928" s="11"/>
    </row>
    <row r="929" spans="18:26" x14ac:dyDescent="0.3">
      <c r="R929" s="10"/>
      <c r="S929" s="10"/>
      <c r="Z929" s="11"/>
    </row>
    <row r="930" spans="18:26" x14ac:dyDescent="0.3">
      <c r="R930" s="10"/>
      <c r="S930" s="10"/>
      <c r="Z930" s="11"/>
    </row>
    <row r="931" spans="18:26" x14ac:dyDescent="0.3">
      <c r="R931" s="10"/>
      <c r="S931" s="10"/>
      <c r="Z931" s="11"/>
    </row>
    <row r="932" spans="18:26" x14ac:dyDescent="0.3">
      <c r="R932" s="10"/>
      <c r="S932" s="10"/>
      <c r="Z932" s="11"/>
    </row>
    <row r="933" spans="18:26" x14ac:dyDescent="0.3">
      <c r="R933" s="10"/>
      <c r="S933" s="10"/>
      <c r="Z933" s="11"/>
    </row>
    <row r="934" spans="18:26" x14ac:dyDescent="0.3">
      <c r="R934" s="10"/>
      <c r="S934" s="10"/>
      <c r="Z934" s="11"/>
    </row>
    <row r="935" spans="18:26" x14ac:dyDescent="0.3">
      <c r="R935" s="10"/>
      <c r="S935" s="10"/>
      <c r="Z935" s="11"/>
    </row>
    <row r="936" spans="18:26" x14ac:dyDescent="0.3">
      <c r="R936" s="10"/>
      <c r="S936" s="10"/>
      <c r="Z936" s="11"/>
    </row>
    <row r="937" spans="18:26" x14ac:dyDescent="0.3">
      <c r="R937" s="10"/>
      <c r="S937" s="10"/>
      <c r="Z937" s="11"/>
    </row>
    <row r="938" spans="18:26" x14ac:dyDescent="0.3">
      <c r="R938" s="10"/>
      <c r="S938" s="10"/>
      <c r="Z938" s="11"/>
    </row>
    <row r="939" spans="18:26" x14ac:dyDescent="0.3">
      <c r="R939" s="10"/>
      <c r="S939" s="10"/>
      <c r="Z939" s="11"/>
    </row>
    <row r="940" spans="18:26" x14ac:dyDescent="0.3">
      <c r="R940" s="10"/>
      <c r="S940" s="10"/>
      <c r="Z940" s="11"/>
    </row>
    <row r="941" spans="18:26" x14ac:dyDescent="0.3">
      <c r="R941" s="10"/>
      <c r="S941" s="10"/>
      <c r="Z941" s="11"/>
    </row>
    <row r="942" spans="18:26" x14ac:dyDescent="0.3">
      <c r="R942" s="10"/>
      <c r="S942" s="10"/>
      <c r="Z942" s="11"/>
    </row>
    <row r="943" spans="18:26" x14ac:dyDescent="0.3">
      <c r="R943" s="10"/>
      <c r="S943" s="10"/>
      <c r="Z943" s="11"/>
    </row>
    <row r="944" spans="18:26" x14ac:dyDescent="0.3">
      <c r="R944" s="10"/>
      <c r="S944" s="10"/>
      <c r="Z944" s="11"/>
    </row>
    <row r="945" spans="18:26" x14ac:dyDescent="0.3">
      <c r="R945" s="10"/>
      <c r="S945" s="10"/>
      <c r="Z945" s="11"/>
    </row>
    <row r="946" spans="18:26" x14ac:dyDescent="0.3">
      <c r="R946" s="10"/>
      <c r="S946" s="10"/>
      <c r="Z946" s="11"/>
    </row>
    <row r="947" spans="18:26" x14ac:dyDescent="0.3">
      <c r="R947" s="10"/>
      <c r="S947" s="10"/>
      <c r="Z947" s="11"/>
    </row>
    <row r="948" spans="18:26" x14ac:dyDescent="0.3">
      <c r="R948" s="10"/>
      <c r="S948" s="10"/>
      <c r="Z948" s="11"/>
    </row>
    <row r="949" spans="18:26" x14ac:dyDescent="0.3">
      <c r="R949" s="10"/>
      <c r="S949" s="10"/>
      <c r="Z949" s="11"/>
    </row>
    <row r="950" spans="18:26" x14ac:dyDescent="0.3">
      <c r="R950" s="10"/>
      <c r="S950" s="10"/>
      <c r="Z950" s="11"/>
    </row>
    <row r="951" spans="18:26" x14ac:dyDescent="0.3">
      <c r="R951" s="10"/>
      <c r="S951" s="10"/>
      <c r="Z951" s="11"/>
    </row>
    <row r="952" spans="18:26" x14ac:dyDescent="0.3">
      <c r="R952" s="10"/>
      <c r="S952" s="10"/>
      <c r="Z952" s="11"/>
    </row>
    <row r="953" spans="18:26" x14ac:dyDescent="0.3">
      <c r="R953" s="10"/>
      <c r="S953" s="10"/>
      <c r="Z953" s="11"/>
    </row>
    <row r="954" spans="18:26" x14ac:dyDescent="0.3">
      <c r="R954" s="10"/>
      <c r="S954" s="10"/>
      <c r="Z954" s="11"/>
    </row>
    <row r="955" spans="18:26" x14ac:dyDescent="0.3">
      <c r="R955" s="10"/>
      <c r="S955" s="10"/>
      <c r="Z955" s="11"/>
    </row>
    <row r="956" spans="18:26" x14ac:dyDescent="0.3">
      <c r="R956" s="10"/>
      <c r="S956" s="10"/>
      <c r="Z956" s="11"/>
    </row>
    <row r="957" spans="18:26" x14ac:dyDescent="0.3">
      <c r="R957" s="10"/>
      <c r="S957" s="10"/>
      <c r="Z957" s="11"/>
    </row>
    <row r="958" spans="18:26" x14ac:dyDescent="0.3">
      <c r="R958" s="10"/>
      <c r="S958" s="10"/>
      <c r="Z958" s="11"/>
    </row>
    <row r="959" spans="18:26" x14ac:dyDescent="0.3">
      <c r="R959" s="10"/>
      <c r="S959" s="10"/>
      <c r="Z959" s="11"/>
    </row>
    <row r="960" spans="18:26" x14ac:dyDescent="0.3">
      <c r="R960" s="10"/>
      <c r="S960" s="10"/>
      <c r="Z960" s="11"/>
    </row>
    <row r="961" spans="18:26" x14ac:dyDescent="0.3">
      <c r="R961" s="10"/>
      <c r="S961" s="10"/>
      <c r="Z961" s="11"/>
    </row>
    <row r="962" spans="18:26" x14ac:dyDescent="0.3">
      <c r="R962" s="10"/>
      <c r="S962" s="10"/>
      <c r="Z962" s="11"/>
    </row>
    <row r="963" spans="18:26" x14ac:dyDescent="0.3">
      <c r="R963" s="10"/>
      <c r="S963" s="10"/>
      <c r="Z963" s="11"/>
    </row>
    <row r="964" spans="18:26" x14ac:dyDescent="0.3">
      <c r="R964" s="10"/>
      <c r="S964" s="10"/>
      <c r="Z964" s="11"/>
    </row>
    <row r="965" spans="18:26" x14ac:dyDescent="0.3">
      <c r="R965" s="10"/>
      <c r="S965" s="10"/>
      <c r="Z965" s="11"/>
    </row>
    <row r="966" spans="18:26" x14ac:dyDescent="0.3">
      <c r="R966" s="10"/>
      <c r="S966" s="10"/>
      <c r="Z966" s="11"/>
    </row>
    <row r="967" spans="18:26" x14ac:dyDescent="0.3">
      <c r="R967" s="10"/>
      <c r="S967" s="10"/>
      <c r="Z967" s="11"/>
    </row>
    <row r="968" spans="18:26" x14ac:dyDescent="0.3">
      <c r="R968" s="10"/>
      <c r="S968" s="10"/>
      <c r="Z968" s="11"/>
    </row>
    <row r="969" spans="18:26" x14ac:dyDescent="0.3">
      <c r="R969" s="10"/>
      <c r="S969" s="10"/>
      <c r="Z969" s="11"/>
    </row>
    <row r="970" spans="18:26" x14ac:dyDescent="0.3">
      <c r="R970" s="10"/>
      <c r="S970" s="10"/>
      <c r="Z970" s="11"/>
    </row>
    <row r="971" spans="18:26" x14ac:dyDescent="0.3">
      <c r="R971" s="10"/>
      <c r="S971" s="10"/>
      <c r="Z971" s="11"/>
    </row>
    <row r="972" spans="18:26" x14ac:dyDescent="0.3">
      <c r="R972" s="10"/>
      <c r="S972" s="10"/>
      <c r="Z972" s="11"/>
    </row>
    <row r="973" spans="18:26" x14ac:dyDescent="0.3">
      <c r="R973" s="10"/>
      <c r="S973" s="10"/>
      <c r="Z973" s="11"/>
    </row>
    <row r="974" spans="18:26" x14ac:dyDescent="0.3">
      <c r="R974" s="10"/>
      <c r="S974" s="10"/>
      <c r="Z974" s="11"/>
    </row>
    <row r="975" spans="18:26" x14ac:dyDescent="0.3">
      <c r="R975" s="10"/>
      <c r="S975" s="10"/>
      <c r="Z975" s="11"/>
    </row>
    <row r="976" spans="18:26" x14ac:dyDescent="0.3">
      <c r="R976" s="10"/>
      <c r="S976" s="10"/>
      <c r="Z976" s="11"/>
    </row>
    <row r="977" spans="18:26" x14ac:dyDescent="0.3">
      <c r="R977" s="10"/>
      <c r="S977" s="10"/>
      <c r="Z977" s="11"/>
    </row>
    <row r="978" spans="18:26" x14ac:dyDescent="0.3">
      <c r="R978" s="10"/>
      <c r="S978" s="10"/>
      <c r="Z978" s="11"/>
    </row>
    <row r="979" spans="18:26" x14ac:dyDescent="0.3">
      <c r="R979" s="10"/>
      <c r="S979" s="10"/>
      <c r="Z979" s="11"/>
    </row>
    <row r="980" spans="18:26" x14ac:dyDescent="0.3">
      <c r="R980" s="10"/>
      <c r="S980" s="10"/>
      <c r="Z980" s="11"/>
    </row>
    <row r="981" spans="18:26" x14ac:dyDescent="0.3">
      <c r="R981" s="10"/>
      <c r="S981" s="10"/>
      <c r="Z981" s="11"/>
    </row>
    <row r="982" spans="18:26" x14ac:dyDescent="0.3">
      <c r="R982" s="10"/>
      <c r="S982" s="10"/>
      <c r="Z982" s="11"/>
    </row>
    <row r="983" spans="18:26" x14ac:dyDescent="0.3">
      <c r="R983" s="10"/>
      <c r="S983" s="10"/>
      <c r="Z983" s="11"/>
    </row>
    <row r="984" spans="18:26" x14ac:dyDescent="0.3">
      <c r="R984" s="10"/>
      <c r="S984" s="10"/>
      <c r="Z984" s="11"/>
    </row>
    <row r="985" spans="18:26" x14ac:dyDescent="0.3">
      <c r="R985" s="10"/>
      <c r="S985" s="10"/>
      <c r="Z985" s="11"/>
    </row>
    <row r="986" spans="18:26" x14ac:dyDescent="0.3">
      <c r="R986" s="10"/>
      <c r="S986" s="10"/>
      <c r="Z986" s="11"/>
    </row>
    <row r="987" spans="18:26" x14ac:dyDescent="0.3">
      <c r="R987" s="10"/>
      <c r="S987" s="10"/>
      <c r="Z987" s="11"/>
    </row>
    <row r="988" spans="18:26" x14ac:dyDescent="0.3">
      <c r="R988" s="10"/>
      <c r="S988" s="10"/>
      <c r="Z988" s="11"/>
    </row>
    <row r="989" spans="18:26" x14ac:dyDescent="0.3">
      <c r="R989" s="10"/>
      <c r="S989" s="10"/>
      <c r="Z989" s="11"/>
    </row>
    <row r="990" spans="18:26" x14ac:dyDescent="0.3">
      <c r="R990" s="10"/>
      <c r="S990" s="10"/>
      <c r="Z990" s="11"/>
    </row>
    <row r="991" spans="18:26" x14ac:dyDescent="0.3">
      <c r="R991" s="10"/>
      <c r="S991" s="10"/>
      <c r="Z991" s="11"/>
    </row>
    <row r="992" spans="18:26" x14ac:dyDescent="0.3">
      <c r="R992" s="10"/>
      <c r="S992" s="10"/>
      <c r="Z992" s="11"/>
    </row>
  </sheetData>
  <autoFilter ref="C1:C992" xr:uid="{00000000-0001-0000-0000-000000000000}"/>
  <sortState xmlns:xlrd2="http://schemas.microsoft.com/office/spreadsheetml/2017/richdata2" ref="A2:AH992">
    <sortCondition ref="A1:A99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Genario</dc:creator>
  <cp:lastModifiedBy>Saulo Gil</cp:lastModifiedBy>
  <dcterms:created xsi:type="dcterms:W3CDTF">2015-06-05T18:19:34Z</dcterms:created>
  <dcterms:modified xsi:type="dcterms:W3CDTF">2026-03-01T17:07:47Z</dcterms:modified>
</cp:coreProperties>
</file>