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e4b858b1fb629067/Documentos/study_SarcobesityAndHealth/data/"/>
    </mc:Choice>
  </mc:AlternateContent>
  <xr:revisionPtr revIDLastSave="7" documentId="13_ncr:1_{A972FD9E-6488-4813-8325-FE1D592C2ECD}" xr6:coauthVersionLast="47" xr6:coauthVersionMax="47" xr10:uidLastSave="{A2809762-C5A4-4435-A6BE-7FCC7E9E95E3}"/>
  <bookViews>
    <workbookView xWindow="28680" yWindow="-120" windowWidth="19440" windowHeight="14880" xr2:uid="{00000000-000D-0000-FFFF-FFFF00000000}"/>
  </bookViews>
  <sheets>
    <sheet name="Plan1" sheetId="1" r:id="rId1"/>
  </sheets>
  <definedNames>
    <definedName name="_xlnm._FilterDatabase" localSheetId="0" hidden="1">Plan1!$C$1:$C$106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7" i="1"/>
  <c r="B18" i="1"/>
  <c r="B19" i="1"/>
  <c r="B26" i="1"/>
  <c r="B30" i="1"/>
  <c r="B37" i="1"/>
  <c r="B40" i="1"/>
  <c r="B43" i="1"/>
  <c r="B44" i="1"/>
  <c r="B48" i="1"/>
  <c r="B51" i="1"/>
  <c r="B54" i="1"/>
  <c r="B60" i="1"/>
  <c r="B62" i="1"/>
  <c r="B64" i="1"/>
  <c r="B66" i="1"/>
  <c r="B67" i="1"/>
  <c r="B72" i="1"/>
  <c r="B76" i="1"/>
  <c r="B77" i="1"/>
  <c r="B83" i="1"/>
  <c r="B85" i="1"/>
  <c r="B89" i="1"/>
  <c r="B90" i="1"/>
  <c r="B91" i="1"/>
  <c r="B93" i="1"/>
  <c r="B94" i="1"/>
  <c r="B95" i="1"/>
  <c r="B97" i="1"/>
  <c r="B99" i="1"/>
  <c r="B104" i="1"/>
  <c r="B5" i="1"/>
  <c r="B9" i="1"/>
  <c r="B10" i="1"/>
  <c r="B11" i="1"/>
  <c r="B15" i="1"/>
  <c r="B22" i="1"/>
  <c r="B23" i="1"/>
  <c r="B25" i="1"/>
  <c r="B27" i="1"/>
  <c r="B31" i="1"/>
  <c r="B32" i="1"/>
  <c r="B34" i="1"/>
  <c r="B35" i="1"/>
  <c r="B39" i="1"/>
  <c r="B42" i="1"/>
  <c r="B45" i="1"/>
  <c r="B46" i="1"/>
  <c r="B47" i="1"/>
  <c r="B52" i="1"/>
  <c r="B53" i="1"/>
  <c r="B58" i="1"/>
  <c r="B63" i="1"/>
  <c r="B65" i="1"/>
  <c r="B69" i="1"/>
  <c r="B70" i="1"/>
  <c r="B71" i="1"/>
  <c r="B75" i="1"/>
  <c r="B79" i="1"/>
  <c r="B81" i="1"/>
  <c r="B87" i="1"/>
  <c r="B88" i="1"/>
  <c r="B98" i="1"/>
  <c r="B102" i="1"/>
  <c r="B2" i="1"/>
  <c r="B3" i="1"/>
  <c r="B7" i="1"/>
  <c r="B12" i="1"/>
  <c r="B13" i="1"/>
  <c r="B16" i="1"/>
  <c r="B24" i="1"/>
  <c r="B33" i="1"/>
  <c r="B36" i="1"/>
  <c r="B38" i="1"/>
  <c r="B41" i="1"/>
  <c r="B49" i="1"/>
  <c r="B50" i="1"/>
  <c r="B55" i="1"/>
  <c r="B57" i="1"/>
  <c r="B61" i="1"/>
  <c r="B68" i="1"/>
  <c r="B73" i="1"/>
  <c r="B74" i="1"/>
  <c r="B78" i="1"/>
  <c r="B80" i="1"/>
  <c r="B82" i="1"/>
  <c r="B84" i="1"/>
  <c r="B86" i="1"/>
  <c r="B92" i="1"/>
  <c r="B96" i="1"/>
  <c r="B100" i="1"/>
  <c r="B101" i="1"/>
  <c r="B103" i="1"/>
  <c r="B105" i="1"/>
  <c r="B106" i="1"/>
  <c r="B6" i="1"/>
  <c r="AD17" i="1"/>
  <c r="AD18" i="1"/>
  <c r="AD19" i="1"/>
  <c r="AD26" i="1"/>
  <c r="AD28" i="1"/>
  <c r="AD30" i="1"/>
  <c r="AD37" i="1"/>
  <c r="AD43" i="1"/>
  <c r="AD44" i="1"/>
  <c r="AD48" i="1"/>
  <c r="AD51" i="1"/>
  <c r="AD54" i="1"/>
  <c r="AD60" i="1"/>
  <c r="AD62" i="1"/>
  <c r="AD64" i="1"/>
  <c r="AD66" i="1"/>
  <c r="AD67" i="1"/>
  <c r="AD72" i="1"/>
  <c r="AD76" i="1"/>
  <c r="AD77" i="1"/>
  <c r="AD85" i="1"/>
  <c r="AD89" i="1"/>
  <c r="AD93" i="1"/>
  <c r="AD94" i="1"/>
  <c r="AD95" i="1"/>
  <c r="AD97" i="1"/>
  <c r="AD99" i="1"/>
  <c r="AD104" i="1"/>
  <c r="AD5" i="1"/>
  <c r="AD9" i="1"/>
  <c r="AD10" i="1"/>
  <c r="AD11" i="1"/>
  <c r="AD15" i="1"/>
  <c r="AD22" i="1"/>
  <c r="AD23" i="1"/>
  <c r="AD25" i="1"/>
  <c r="AD27" i="1"/>
  <c r="AD29" i="1"/>
  <c r="AD31" i="1"/>
  <c r="AD32" i="1"/>
  <c r="AD34" i="1"/>
  <c r="AD35" i="1"/>
  <c r="AD39" i="1"/>
  <c r="AD42" i="1"/>
  <c r="AD45" i="1"/>
  <c r="AD47" i="1"/>
  <c r="AD52" i="1"/>
  <c r="AD53" i="1"/>
  <c r="AD58" i="1"/>
  <c r="AD63" i="1"/>
  <c r="AD65" i="1"/>
  <c r="AD69" i="1"/>
  <c r="AD70" i="1"/>
  <c r="AD75" i="1"/>
  <c r="AD79" i="1"/>
  <c r="AD87" i="1"/>
  <c r="AD88" i="1"/>
  <c r="AD98" i="1"/>
  <c r="AD102" i="1"/>
  <c r="AD2" i="1"/>
  <c r="AD3" i="1"/>
  <c r="AD7" i="1"/>
  <c r="AD12" i="1"/>
  <c r="AD16" i="1"/>
  <c r="AD24" i="1"/>
  <c r="AD33" i="1"/>
  <c r="AD36" i="1"/>
  <c r="AD41" i="1"/>
  <c r="AD57" i="1"/>
  <c r="AD59" i="1"/>
  <c r="AD61" i="1"/>
  <c r="AD68" i="1"/>
  <c r="AD73" i="1"/>
  <c r="AD74" i="1"/>
  <c r="AD78" i="1"/>
  <c r="AD80" i="1"/>
  <c r="AD82" i="1"/>
  <c r="AD84" i="1"/>
  <c r="AD86" i="1"/>
  <c r="AD92" i="1"/>
  <c r="AD100" i="1"/>
  <c r="AD101" i="1"/>
  <c r="AD103" i="1"/>
  <c r="AD105" i="1"/>
  <c r="AD106" i="1"/>
  <c r="AD6" i="1"/>
  <c r="Z106" i="1" l="1"/>
  <c r="Z105" i="1"/>
  <c r="Z103" i="1"/>
  <c r="Z101" i="1"/>
  <c r="Z100" i="1"/>
  <c r="Z96" i="1"/>
  <c r="Z92" i="1"/>
  <c r="Z86" i="1"/>
  <c r="Z84" i="1"/>
  <c r="Z82" i="1"/>
  <c r="Z80" i="1"/>
  <c r="Z78" i="1"/>
  <c r="Z74" i="1"/>
  <c r="Z73" i="1"/>
  <c r="Z68" i="1"/>
  <c r="Z61" i="1"/>
  <c r="Z59" i="1"/>
  <c r="Z57" i="1"/>
  <c r="Z55" i="1"/>
  <c r="Z50" i="1"/>
  <c r="Z49" i="1"/>
  <c r="Z41" i="1"/>
  <c r="Z38" i="1"/>
  <c r="Z36" i="1"/>
  <c r="Z33" i="1"/>
  <c r="Z24" i="1"/>
  <c r="Z21" i="1"/>
  <c r="Z16" i="1"/>
  <c r="Z13" i="1"/>
  <c r="Z12" i="1"/>
  <c r="Z8" i="1"/>
  <c r="Z7" i="1"/>
  <c r="Z4" i="1"/>
  <c r="Z3" i="1"/>
  <c r="Z2" i="1"/>
  <c r="Z102" i="1"/>
  <c r="Z98" i="1"/>
  <c r="Z88" i="1"/>
  <c r="Z87" i="1"/>
  <c r="Z81" i="1"/>
  <c r="Z79" i="1"/>
  <c r="Z75" i="1"/>
  <c r="Z56" i="1"/>
  <c r="Z71" i="1"/>
  <c r="Z70" i="1"/>
  <c r="Z69" i="1"/>
  <c r="Z65" i="1"/>
  <c r="Z63" i="1"/>
  <c r="Z58" i="1"/>
  <c r="Z53" i="1"/>
  <c r="Z52" i="1"/>
  <c r="Z47" i="1"/>
  <c r="Z46" i="1"/>
  <c r="Z45" i="1"/>
  <c r="Z42" i="1"/>
  <c r="Z39" i="1"/>
  <c r="Z35" i="1"/>
  <c r="Z34" i="1"/>
  <c r="Z32" i="1"/>
  <c r="Z31" i="1"/>
  <c r="Z29" i="1"/>
  <c r="Z27" i="1"/>
  <c r="Z25" i="1"/>
  <c r="Z23" i="1"/>
  <c r="Z22" i="1"/>
  <c r="Z15" i="1"/>
  <c r="Z11" i="1"/>
  <c r="Z10" i="1"/>
  <c r="Z9" i="1"/>
  <c r="Z5" i="1"/>
  <c r="Z104" i="1"/>
  <c r="Z99" i="1"/>
  <c r="Z97" i="1"/>
  <c r="Z95" i="1"/>
  <c r="Z94" i="1"/>
  <c r="Z93" i="1"/>
  <c r="Z91" i="1"/>
  <c r="Z90" i="1"/>
  <c r="Z89" i="1"/>
  <c r="Z85" i="1"/>
  <c r="Z83" i="1"/>
  <c r="Z77" i="1"/>
  <c r="Z76" i="1"/>
  <c r="Z72" i="1"/>
  <c r="Z67" i="1"/>
  <c r="Z66" i="1"/>
  <c r="Z64" i="1"/>
  <c r="Z62" i="1"/>
  <c r="Z60" i="1"/>
  <c r="Z54" i="1"/>
  <c r="Z51" i="1"/>
  <c r="Z48" i="1"/>
  <c r="Z44" i="1"/>
  <c r="Z43" i="1"/>
  <c r="Z40" i="1"/>
  <c r="Z37" i="1"/>
  <c r="Z30" i="1"/>
  <c r="Z28" i="1"/>
  <c r="Z26" i="1"/>
  <c r="Z20" i="1"/>
  <c r="Z19" i="1"/>
  <c r="Z18" i="1"/>
  <c r="Z17" i="1"/>
  <c r="Z14" i="1"/>
  <c r="Z6" i="1"/>
</calcChain>
</file>

<file path=xl/sharedStrings.xml><?xml version="1.0" encoding="utf-8"?>
<sst xmlns="http://schemas.openxmlformats.org/spreadsheetml/2006/main" count="146" uniqueCount="144">
  <si>
    <t>Antonio Rosa de Lima</t>
  </si>
  <si>
    <t>Carmelita Maria do nascimento Fossalussa</t>
  </si>
  <si>
    <t>Cleber Antonio Papa da Silva</t>
  </si>
  <si>
    <t>Daniel Viana Figueiredo</t>
  </si>
  <si>
    <t>Dirce Valto Braz</t>
  </si>
  <si>
    <t>Edson Tadeu de Almeida</t>
  </si>
  <si>
    <t>Eunice Martinez</t>
  </si>
  <si>
    <t>Gabriel Monteiro</t>
  </si>
  <si>
    <t>Gercina verissimo da silva costa</t>
  </si>
  <si>
    <t>Ivandira Fernandes Ferreira Mendes</t>
  </si>
  <si>
    <t>Jenny Mello Leme</t>
  </si>
  <si>
    <t>José Roberto Gusmão Montes</t>
  </si>
  <si>
    <t>Joselita Alves Rodrigues</t>
  </si>
  <si>
    <t>Lea Pesso Smeke</t>
  </si>
  <si>
    <t>Luciano Nogueira Martins</t>
  </si>
  <si>
    <t>Maria Alves Brito</t>
  </si>
  <si>
    <t>Maria de Lourdes dos Santos Nascimento</t>
  </si>
  <si>
    <t>Maria do Pérpetuo Socorro</t>
  </si>
  <si>
    <t>Maria Elizeth</t>
  </si>
  <si>
    <t>Maria Inês</t>
  </si>
  <si>
    <t>Maria José da Silva Fernandes</t>
  </si>
  <si>
    <t>Maria Sidnei Barbosa</t>
  </si>
  <si>
    <t>Marlene Cano Vasques</t>
  </si>
  <si>
    <t>Marlene da Cunha Valle</t>
  </si>
  <si>
    <t>Regina Helena de Jesus Rodrigues</t>
  </si>
  <si>
    <t>Rosa Maria Camargo Pinto</t>
  </si>
  <si>
    <t>Setsuko Taminato</t>
  </si>
  <si>
    <t>Shirley Rohwdd Aviles</t>
  </si>
  <si>
    <t>Sidnei Valentim</t>
  </si>
  <si>
    <t>Solange Kalena Levy</t>
  </si>
  <si>
    <t>Sonia de Carvalho Isla Angelini</t>
  </si>
  <si>
    <t>Sônia Maria Righetto</t>
  </si>
  <si>
    <t>Sueli Pires de Araujo DAgostini</t>
  </si>
  <si>
    <t>Tania Regina Fernandez Benitez</t>
  </si>
  <si>
    <t>Vera Lucia Novaes Ribeiro</t>
  </si>
  <si>
    <t>Ana Maria Obranovich</t>
  </si>
  <si>
    <t>Aurea Andre Balthazar</t>
  </si>
  <si>
    <t>Benedita Dolores Marquezini</t>
  </si>
  <si>
    <t>Benedita Pinheiro Cunha</t>
  </si>
  <si>
    <t>Cila Ankier</t>
  </si>
  <si>
    <t>Emanuel Pinheiro</t>
  </si>
  <si>
    <t>Eneida Maria</t>
  </si>
  <si>
    <t>Eunice Dantas goncalves</t>
  </si>
  <si>
    <t>Fátima Regina</t>
  </si>
  <si>
    <t>Geni Czartona</t>
  </si>
  <si>
    <t>Harlerey Lopes dos Santos</t>
  </si>
  <si>
    <t>Hemiko Fujiwara</t>
  </si>
  <si>
    <t>Ilka Gonsiorowski de Camargo</t>
  </si>
  <si>
    <t>Irineia Caresi</t>
  </si>
  <si>
    <t>Ivone Galante</t>
  </si>
  <si>
    <t>José Octavio Siqueira Cunha</t>
  </si>
  <si>
    <t>Julia Preplotzki Brandão</t>
  </si>
  <si>
    <t>Kioshi Shimizu</t>
  </si>
  <si>
    <t>Kiyoko Taminato Gomes da Silva</t>
  </si>
  <si>
    <t>Luis Vargas Quesada</t>
  </si>
  <si>
    <t>Marco Tanchella</t>
  </si>
  <si>
    <t>Maria das Graças Barreto</t>
  </si>
  <si>
    <t>Maria do Socorro Silva</t>
  </si>
  <si>
    <t>Maria Helena Granata</t>
  </si>
  <si>
    <t>Maria Lúcia Ferreira da Silva</t>
  </si>
  <si>
    <t>Maria Marlene França</t>
  </si>
  <si>
    <t>Maria Rosa Maiante</t>
  </si>
  <si>
    <t>Maria Silvia Barrios</t>
  </si>
  <si>
    <t>Marielze de Oliveira Brigo</t>
  </si>
  <si>
    <t>Miguel Paulo Santner</t>
  </si>
  <si>
    <t>Nilza das Graças Silva de Paula</t>
  </si>
  <si>
    <t>Rubens Aparecido dos Santos</t>
  </si>
  <si>
    <t>Sérgio Pinto Carneiro</t>
  </si>
  <si>
    <t>Suely Farah</t>
  </si>
  <si>
    <t>Valeria Iazzetta</t>
  </si>
  <si>
    <t>Almerinda Duarte de Almeida</t>
  </si>
  <si>
    <t>Altonízzio Machado</t>
  </si>
  <si>
    <t>Álvaro Escrivão</t>
  </si>
  <si>
    <t>Aparecida Luiza da Silva Magalhães</t>
  </si>
  <si>
    <t>Augustin Mangia Gomes</t>
  </si>
  <si>
    <t>Benne Catanante</t>
  </si>
  <si>
    <t>Carlos Roberto Marostega</t>
  </si>
  <si>
    <t>Cinthia Souza Ribeiro</t>
  </si>
  <si>
    <t>Eduardo Klein</t>
  </si>
  <si>
    <t>Erotildes Maria</t>
  </si>
  <si>
    <t>Iara Souza Barufaldi</t>
  </si>
  <si>
    <t>Isabel Grant Marzano Ricci</t>
  </si>
  <si>
    <t>Ivanete Rodrigues de Souza</t>
  </si>
  <si>
    <t>João Batista de Matos Filho</t>
  </si>
  <si>
    <t>Leonor de Andrade</t>
  </si>
  <si>
    <t>Lourenço Dias de Camargo Junior</t>
  </si>
  <si>
    <t>Maria Aparecida Moreno Costa</t>
  </si>
  <si>
    <t>Maria Benedita Yoshizawa</t>
  </si>
  <si>
    <t>Maria de Jesus Machado dos Santos</t>
  </si>
  <si>
    <t>Maria do Ceu do Olival Barbara Domingues</t>
  </si>
  <si>
    <t>Maria Julia de Oliveira</t>
  </si>
  <si>
    <t>Maria Telma Pereira Cohen</t>
  </si>
  <si>
    <t>Maria Tereza Carvalho</t>
  </si>
  <si>
    <t>Marlene Lopes de Oliveira Miranda</t>
  </si>
  <si>
    <t>Natalia Andrade de Lima</t>
  </si>
  <si>
    <t>Paulo Bueno de Morais</t>
  </si>
  <si>
    <t>Renilda almeida do nascimento</t>
  </si>
  <si>
    <t>Roseana Lacava</t>
  </si>
  <si>
    <t>Silvia Sobral</t>
  </si>
  <si>
    <t>Sônia Regina da Silva</t>
  </si>
  <si>
    <t>Terezinha Coes Gama Santos</t>
  </si>
  <si>
    <t>Thais Helena Lemos Pinto</t>
  </si>
  <si>
    <t>Vera Lucia dos Santos</t>
  </si>
  <si>
    <t>Vitória Vitalina de Lima Machado</t>
  </si>
  <si>
    <t>Wilma Ferreira de Sá</t>
  </si>
  <si>
    <t>-</t>
  </si>
  <si>
    <t>psqi_score</t>
  </si>
  <si>
    <t>physical_domain</t>
  </si>
  <si>
    <t>mental_domain</t>
  </si>
  <si>
    <t>gai_score</t>
  </si>
  <si>
    <t>gds_score</t>
  </si>
  <si>
    <t>sleep</t>
  </si>
  <si>
    <t>name</t>
  </si>
  <si>
    <t>waist_circunference</t>
  </si>
  <si>
    <t>hgs_maior</t>
  </si>
  <si>
    <t>total_lean_mass</t>
  </si>
  <si>
    <t>total_fat_mass</t>
  </si>
  <si>
    <t>trunk_fat_mass</t>
  </si>
  <si>
    <t>vat_area</t>
  </si>
  <si>
    <t>vat_mass</t>
  </si>
  <si>
    <t>hba1c</t>
  </si>
  <si>
    <t>glucose</t>
  </si>
  <si>
    <t>insulin</t>
  </si>
  <si>
    <t>homa_ir</t>
  </si>
  <si>
    <t>delta_weight_loss</t>
  </si>
  <si>
    <t>bmi</t>
  </si>
  <si>
    <t>appendicular_lean_mass</t>
  </si>
  <si>
    <t>percentual_fat_mass</t>
  </si>
  <si>
    <t>appendicular_lean_mass/bmi</t>
  </si>
  <si>
    <t>thyroid_drugs</t>
  </si>
  <si>
    <t>statins</t>
  </si>
  <si>
    <t>glucose_lowering_drugs</t>
  </si>
  <si>
    <t>anxiolytics_or_antidepressant</t>
  </si>
  <si>
    <t>anti_hypertensives</t>
  </si>
  <si>
    <t>osteopenia</t>
  </si>
  <si>
    <t>dislipidemia</t>
  </si>
  <si>
    <t>rheumatic_diseases</t>
  </si>
  <si>
    <t>psychiatric_diseases</t>
  </si>
  <si>
    <t>hypertension</t>
  </si>
  <si>
    <t>diabetes</t>
  </si>
  <si>
    <t>gender_male</t>
  </si>
  <si>
    <t>auc_insulin</t>
  </si>
  <si>
    <t>auc_ppc</t>
  </si>
  <si>
    <t>auc_glicose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</si>
</sst>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222222"/>
      <name val="Calibri"/>
      <family val="2"/>
      <scheme val="minor"/>
    </font>
    <font>
      <sz val="1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7">
    <xf numFmtId="0" fontId="0" fillId="0" borderId="0" xfId="0"/>
    <xf numFmtId="0" fontId="2" fillId="33" borderId="10" xfId="0" applyFont="1" applyFill="1" applyBorder="1" applyAlignment="1">
      <alignment horizontal="center" vertical="center" wrapText="1"/>
    </xf>
    <xf numFmtId="0" fontId="0" fillId="33" borderId="10" xfId="0" applyFill="1" applyBorder="1" applyAlignment="1">
      <alignment horizontal="center"/>
    </xf>
    <xf numFmtId="2" fontId="0" fillId="33" borderId="10" xfId="0" applyNumberFormat="1" applyFill="1" applyBorder="1" applyAlignment="1">
      <alignment horizontal="center"/>
    </xf>
    <xf numFmtId="0" fontId="0" fillId="33" borderId="10" xfId="0" applyFill="1" applyBorder="1"/>
    <xf numFmtId="0" fontId="2" fillId="34" borderId="10" xfId="0" applyFont="1" applyFill="1" applyBorder="1" applyAlignment="1">
      <alignment horizontal="center" vertical="center" wrapText="1"/>
    </xf>
    <xf numFmtId="164" fontId="2" fillId="35" borderId="10" xfId="0" applyNumberFormat="1" applyFont="1" applyFill="1" applyBorder="1" applyAlignment="1">
      <alignment horizontal="center" vertical="center" wrapText="1"/>
    </xf>
    <xf numFmtId="0" fontId="2" fillId="35" borderId="10" xfId="0" applyFont="1" applyFill="1" applyBorder="1" applyAlignment="1">
      <alignment horizontal="center" vertical="center" wrapText="1"/>
    </xf>
    <xf numFmtId="164" fontId="2" fillId="36" borderId="10" xfId="0" applyNumberFormat="1" applyFont="1" applyFill="1" applyBorder="1" applyAlignment="1">
      <alignment horizontal="center" vertical="center" wrapText="1"/>
    </xf>
    <xf numFmtId="0" fontId="2" fillId="33" borderId="10" xfId="0" applyFont="1" applyFill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33" borderId="10" xfId="0" applyFill="1" applyBorder="1" applyAlignment="1">
      <alignment wrapText="1"/>
    </xf>
    <xf numFmtId="0" fontId="0" fillId="34" borderId="10" xfId="0" applyFill="1" applyBorder="1" applyAlignment="1">
      <alignment horizontal="center"/>
    </xf>
    <xf numFmtId="0" fontId="0" fillId="37" borderId="10" xfId="0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164" fontId="0" fillId="37" borderId="10" xfId="0" applyNumberFormat="1" applyFill="1" applyBorder="1"/>
    <xf numFmtId="0" fontId="0" fillId="38" borderId="10" xfId="0" applyFill="1" applyBorder="1" applyAlignment="1">
      <alignment horizontal="center" wrapText="1"/>
    </xf>
    <xf numFmtId="164" fontId="0" fillId="38" borderId="10" xfId="0" applyNumberFormat="1" applyFill="1" applyBorder="1" applyAlignment="1">
      <alignment horizontal="center" wrapText="1"/>
    </xf>
    <xf numFmtId="0" fontId="0" fillId="38" borderId="10" xfId="0" applyFill="1" applyBorder="1" applyAlignment="1">
      <alignment horizontal="center"/>
    </xf>
    <xf numFmtId="0" fontId="0" fillId="33" borderId="10" xfId="0" applyFill="1" applyBorder="1" applyAlignment="1">
      <alignment horizontal="center" wrapText="1"/>
    </xf>
    <xf numFmtId="164" fontId="0" fillId="33" borderId="10" xfId="0" applyNumberFormat="1" applyFill="1" applyBorder="1" applyAlignment="1">
      <alignment horizontal="center" wrapText="1"/>
    </xf>
    <xf numFmtId="164" fontId="0" fillId="33" borderId="10" xfId="0" applyNumberFormat="1" applyFill="1" applyBorder="1" applyAlignment="1">
      <alignment horizontal="center"/>
    </xf>
    <xf numFmtId="0" fontId="0" fillId="37" borderId="10" xfId="0" applyFill="1" applyBorder="1"/>
    <xf numFmtId="164" fontId="0" fillId="38" borderId="10" xfId="0" applyNumberFormat="1" applyFill="1" applyBorder="1" applyAlignment="1">
      <alignment horizontal="center"/>
    </xf>
    <xf numFmtId="0" fontId="0" fillId="38" borderId="10" xfId="0" applyFill="1" applyBorder="1"/>
    <xf numFmtId="1" fontId="0" fillId="33" borderId="10" xfId="0" applyNumberFormat="1" applyFill="1" applyBorder="1" applyAlignment="1">
      <alignment horizontal="center"/>
    </xf>
    <xf numFmtId="0" fontId="0" fillId="37" borderId="10" xfId="0" applyFill="1" applyBorder="1" applyAlignment="1">
      <alignment horizontal="center" wrapText="1"/>
    </xf>
    <xf numFmtId="164" fontId="0" fillId="37" borderId="10" xfId="0" applyNumberFormat="1" applyFill="1" applyBorder="1" applyAlignment="1">
      <alignment horizontal="center" wrapText="1"/>
    </xf>
    <xf numFmtId="2" fontId="0" fillId="37" borderId="10" xfId="0" applyNumberFormat="1" applyFill="1" applyBorder="1" applyAlignment="1">
      <alignment horizontal="center"/>
    </xf>
    <xf numFmtId="0" fontId="20" fillId="33" borderId="10" xfId="0" applyFont="1" applyFill="1" applyBorder="1" applyAlignment="1">
      <alignment wrapText="1"/>
    </xf>
    <xf numFmtId="0" fontId="0" fillId="33" borderId="10" xfId="0" applyFill="1" applyBorder="1" applyAlignment="1">
      <alignment vertical="center" wrapText="1"/>
    </xf>
    <xf numFmtId="0" fontId="21" fillId="33" borderId="10" xfId="0" applyFont="1" applyFill="1" applyBorder="1" applyAlignment="1">
      <alignment horizontal="center"/>
    </xf>
    <xf numFmtId="0" fontId="0" fillId="34" borderId="10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2" fontId="0" fillId="33" borderId="10" xfId="0" applyNumberFormat="1" applyFill="1" applyBorder="1" applyAlignment="1">
      <alignment horizontal="center" vertical="center"/>
    </xf>
    <xf numFmtId="164" fontId="0" fillId="33" borderId="10" xfId="0" applyNumberFormat="1" applyFill="1" applyBorder="1" applyAlignment="1">
      <alignment horizontal="center" vertical="center"/>
    </xf>
    <xf numFmtId="1" fontId="0" fillId="36" borderId="10" xfId="0" applyNumberFormat="1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164" fontId="0" fillId="37" borderId="10" xfId="0" applyNumberFormat="1" applyFill="1" applyBorder="1" applyAlignment="1">
      <alignment horizontal="center" vertical="center"/>
    </xf>
    <xf numFmtId="0" fontId="0" fillId="38" borderId="10" xfId="0" applyFill="1" applyBorder="1" applyAlignment="1">
      <alignment horizontal="center" vertical="center" wrapText="1"/>
    </xf>
    <xf numFmtId="164" fontId="0" fillId="38" borderId="10" xfId="0" applyNumberFormat="1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164" fontId="19" fillId="33" borderId="10" xfId="0" applyNumberFormat="1" applyFont="1" applyFill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5" fontId="3" fillId="0" borderId="10" xfId="0" applyNumberFormat="1" applyFont="1" applyBorder="1" applyAlignment="1">
      <alignment horizontal="center"/>
    </xf>
    <xf numFmtId="165" fontId="21" fillId="33" borderId="10" xfId="0" applyNumberFormat="1" applyFont="1" applyFill="1" applyBorder="1" applyAlignment="1">
      <alignment horizontal="center"/>
    </xf>
    <xf numFmtId="0" fontId="0" fillId="33" borderId="10" xfId="0" applyFill="1" applyBorder="1" applyAlignment="1">
      <alignment horizontal="center" vertical="center" wrapText="1"/>
    </xf>
    <xf numFmtId="0" fontId="0" fillId="0" borderId="10" xfId="0" applyBorder="1"/>
    <xf numFmtId="0" fontId="19" fillId="39" borderId="10" xfId="0" applyFont="1" applyFill="1" applyBorder="1" applyAlignment="1">
      <alignment horizontal="center" vertical="center"/>
    </xf>
    <xf numFmtId="0" fontId="21" fillId="39" borderId="10" xfId="0" applyFont="1" applyFill="1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2" fontId="0" fillId="0" borderId="10" xfId="0" applyNumberFormat="1" applyBorder="1"/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6"/>
  <sheetViews>
    <sheetView tabSelected="1" zoomScale="55" zoomScaleNormal="55" workbookViewId="0">
      <pane xSplit="1" topLeftCell="B1" activePane="topRight" state="frozen"/>
      <selection pane="topRight" activeCell="AH134" sqref="AH134"/>
    </sheetView>
  </sheetViews>
  <sheetFormatPr defaultRowHeight="14.4" x14ac:dyDescent="0.3"/>
  <cols>
    <col min="1" max="1" width="43.109375" style="54" customWidth="1"/>
    <col min="2" max="2" width="14.88671875" style="55" customWidth="1"/>
    <col min="3" max="3" width="17.6640625" style="55" customWidth="1"/>
    <col min="4" max="4" width="14.44140625" style="54"/>
    <col min="5" max="5" width="17" style="54" customWidth="1"/>
    <col min="6" max="6" width="17.33203125" style="54" customWidth="1"/>
    <col min="7" max="7" width="21.109375" style="54" customWidth="1"/>
    <col min="8" max="8" width="19.5546875" style="54" customWidth="1"/>
    <col min="9" max="9" width="16.5546875" style="54" customWidth="1"/>
    <col min="10" max="10" width="16.77734375" style="54" customWidth="1"/>
    <col min="11" max="11" width="19.77734375" style="54" customWidth="1"/>
    <col min="12" max="12" width="25" style="54" customWidth="1"/>
    <col min="13" max="13" width="14.21875" style="54" customWidth="1"/>
    <col min="14" max="14" width="17.21875" style="54" customWidth="1"/>
    <col min="15" max="15" width="26.88671875" style="54" customWidth="1"/>
    <col min="16" max="17" width="17.6640625" style="55" customWidth="1"/>
    <col min="18" max="18" width="17.88671875" style="54" customWidth="1"/>
    <col min="19" max="19" width="26.33203125" style="54" customWidth="1"/>
    <col min="20" max="20" width="20.33203125" style="54" customWidth="1"/>
    <col min="21" max="21" width="18.109375" style="54" customWidth="1"/>
    <col min="22" max="22" width="14.44140625" style="54"/>
    <col min="23" max="23" width="18.109375" style="54" customWidth="1"/>
    <col min="24" max="24" width="22.5546875" style="54" customWidth="1"/>
    <col min="25" max="25" width="13.21875" style="54" customWidth="1"/>
    <col min="26" max="26" width="14" style="54" customWidth="1"/>
    <col min="27" max="27" width="16.21875" style="54" customWidth="1"/>
    <col min="28" max="28" width="13.21875" style="54" customWidth="1"/>
    <col min="29" max="29" width="8.88671875" style="54"/>
    <col min="30" max="30" width="8.88671875" style="55"/>
    <col min="31" max="31" width="16.6640625" style="54" customWidth="1"/>
    <col min="32" max="32" width="8.88671875" style="54"/>
    <col min="33" max="33" width="23.44140625" style="55" customWidth="1"/>
    <col min="34" max="34" width="36" style="56" customWidth="1"/>
    <col min="35" max="35" width="22.109375" style="55" customWidth="1"/>
    <col min="36" max="16384" width="8.88671875" style="54"/>
  </cols>
  <sheetData>
    <row r="1" spans="1:38" s="11" customFormat="1" ht="28.8" x14ac:dyDescent="0.3">
      <c r="A1" s="1" t="s">
        <v>112</v>
      </c>
      <c r="B1" s="1" t="s">
        <v>111</v>
      </c>
      <c r="C1" s="50" t="s">
        <v>106</v>
      </c>
      <c r="D1" s="1" t="s">
        <v>140</v>
      </c>
      <c r="E1" s="1" t="s">
        <v>139</v>
      </c>
      <c r="F1" s="1" t="s">
        <v>138</v>
      </c>
      <c r="G1" s="1" t="s">
        <v>137</v>
      </c>
      <c r="H1" s="1" t="s">
        <v>136</v>
      </c>
      <c r="I1" s="1" t="s">
        <v>135</v>
      </c>
      <c r="J1" s="1" t="s">
        <v>134</v>
      </c>
      <c r="K1" s="1" t="s">
        <v>133</v>
      </c>
      <c r="L1" s="1" t="s">
        <v>131</v>
      </c>
      <c r="M1" s="1" t="s">
        <v>130</v>
      </c>
      <c r="N1" s="1" t="s">
        <v>129</v>
      </c>
      <c r="O1" s="1" t="s">
        <v>132</v>
      </c>
      <c r="P1" s="10" t="s">
        <v>107</v>
      </c>
      <c r="Q1" s="10" t="s">
        <v>108</v>
      </c>
      <c r="R1" s="5" t="s">
        <v>109</v>
      </c>
      <c r="S1" s="5" t="s">
        <v>110</v>
      </c>
      <c r="T1" s="1" t="s">
        <v>113</v>
      </c>
      <c r="U1" s="1" t="s">
        <v>114</v>
      </c>
      <c r="V1" s="6" t="s">
        <v>115</v>
      </c>
      <c r="W1" s="6" t="s">
        <v>116</v>
      </c>
      <c r="X1" s="6" t="s">
        <v>117</v>
      </c>
      <c r="Y1" s="7" t="s">
        <v>119</v>
      </c>
      <c r="Z1" s="8" t="s">
        <v>118</v>
      </c>
      <c r="AA1" s="9" t="s">
        <v>120</v>
      </c>
      <c r="AB1" s="9" t="s">
        <v>121</v>
      </c>
      <c r="AC1" s="9" t="s">
        <v>122</v>
      </c>
      <c r="AD1" s="9" t="s">
        <v>123</v>
      </c>
      <c r="AE1" s="10" t="s">
        <v>124</v>
      </c>
      <c r="AF1" s="10" t="s">
        <v>125</v>
      </c>
      <c r="AG1" s="10" t="s">
        <v>126</v>
      </c>
      <c r="AH1" s="43" t="s">
        <v>128</v>
      </c>
      <c r="AI1" s="10" t="s">
        <v>127</v>
      </c>
      <c r="AJ1" s="52" t="s">
        <v>141</v>
      </c>
      <c r="AK1" s="52" t="s">
        <v>142</v>
      </c>
      <c r="AL1" s="52" t="s">
        <v>143</v>
      </c>
    </row>
    <row r="2" spans="1:38" customFormat="1" x14ac:dyDescent="0.3">
      <c r="A2" s="12" t="s">
        <v>70</v>
      </c>
      <c r="B2" s="20" t="str">
        <f>IF(C2&gt;5,"ruim","bom")</f>
        <v>ruim</v>
      </c>
      <c r="C2" s="51">
        <v>7</v>
      </c>
      <c r="D2" s="20">
        <v>0</v>
      </c>
      <c r="E2" s="20">
        <v>0</v>
      </c>
      <c r="F2" s="20">
        <v>1</v>
      </c>
      <c r="G2" s="20">
        <v>1</v>
      </c>
      <c r="H2" s="20">
        <v>0</v>
      </c>
      <c r="I2" s="20">
        <v>1</v>
      </c>
      <c r="J2" s="20">
        <v>0</v>
      </c>
      <c r="K2" s="20">
        <v>1</v>
      </c>
      <c r="L2" s="20">
        <v>0</v>
      </c>
      <c r="M2" s="20">
        <v>1</v>
      </c>
      <c r="N2" s="20">
        <v>0</v>
      </c>
      <c r="O2" s="20">
        <v>1</v>
      </c>
      <c r="P2" s="2">
        <v>40</v>
      </c>
      <c r="Q2" s="2">
        <v>42</v>
      </c>
      <c r="R2" s="13">
        <v>15</v>
      </c>
      <c r="S2" s="13">
        <v>8</v>
      </c>
      <c r="T2" s="17">
        <v>112</v>
      </c>
      <c r="U2" s="17">
        <v>26</v>
      </c>
      <c r="V2" s="18">
        <v>44.813000000000002</v>
      </c>
      <c r="W2" s="18">
        <v>55.942</v>
      </c>
      <c r="X2" s="18">
        <v>28.6891</v>
      </c>
      <c r="Y2" s="17">
        <v>0.65300000000000002</v>
      </c>
      <c r="Z2" s="37">
        <f t="shared" ref="Z2:Z33" si="0">Y2*1000</f>
        <v>653</v>
      </c>
      <c r="AA2" s="19">
        <v>5.7</v>
      </c>
      <c r="AB2" s="19">
        <v>91</v>
      </c>
      <c r="AC2" s="19">
        <v>25.7</v>
      </c>
      <c r="AD2" s="3">
        <f>AB2*AC2/405</f>
        <v>5.7745679012345672</v>
      </c>
      <c r="AE2" s="32">
        <v>-5.0999999999999996</v>
      </c>
      <c r="AF2" s="32">
        <v>43.3</v>
      </c>
      <c r="AG2" s="32">
        <v>18.254000000000001</v>
      </c>
      <c r="AH2" s="44">
        <v>0.42199999999999999</v>
      </c>
      <c r="AI2" s="46">
        <v>54.7</v>
      </c>
      <c r="AJ2" s="53">
        <v>1554.303926809411</v>
      </c>
      <c r="AK2" s="53">
        <v>95.20770938497742</v>
      </c>
      <c r="AL2" s="53">
        <v>618.35224942498735</v>
      </c>
    </row>
    <row r="3" spans="1:38" customFormat="1" x14ac:dyDescent="0.3">
      <c r="A3" s="12" t="s">
        <v>71</v>
      </c>
      <c r="B3" s="20" t="str">
        <f>IF(C3&gt;5,"ruim","bom")</f>
        <v>ruim</v>
      </c>
      <c r="C3" s="51">
        <v>6</v>
      </c>
      <c r="D3" s="20">
        <v>1</v>
      </c>
      <c r="E3" s="20">
        <v>0</v>
      </c>
      <c r="F3" s="20">
        <v>0</v>
      </c>
      <c r="G3" s="20">
        <v>0</v>
      </c>
      <c r="H3" s="20">
        <v>0</v>
      </c>
      <c r="I3" s="20">
        <v>1</v>
      </c>
      <c r="J3" s="20">
        <v>0</v>
      </c>
      <c r="K3" s="20">
        <v>0</v>
      </c>
      <c r="L3" s="20">
        <v>0</v>
      </c>
      <c r="M3" s="20">
        <v>1</v>
      </c>
      <c r="N3" s="20">
        <v>0</v>
      </c>
      <c r="O3" s="20">
        <v>0</v>
      </c>
      <c r="P3" s="2">
        <v>94</v>
      </c>
      <c r="Q3" s="2">
        <v>93</v>
      </c>
      <c r="R3" s="13">
        <v>5</v>
      </c>
      <c r="S3" s="13">
        <v>1</v>
      </c>
      <c r="T3" s="20">
        <v>107.1</v>
      </c>
      <c r="U3" s="17">
        <v>28</v>
      </c>
      <c r="V3" s="21">
        <v>46.158999999999999</v>
      </c>
      <c r="W3" s="21">
        <v>29.413799999999998</v>
      </c>
      <c r="X3" s="21">
        <v>16.46</v>
      </c>
      <c r="Y3" s="20">
        <v>1.212</v>
      </c>
      <c r="Z3" s="37">
        <f t="shared" si="0"/>
        <v>1212</v>
      </c>
      <c r="AA3" s="2">
        <v>5.9</v>
      </c>
      <c r="AB3" s="2">
        <v>108</v>
      </c>
      <c r="AC3" s="2">
        <v>8</v>
      </c>
      <c r="AD3" s="3">
        <f>AB3*AC3/405</f>
        <v>2.1333333333333333</v>
      </c>
      <c r="AE3" s="32">
        <v>-7.2</v>
      </c>
      <c r="AF3" s="32">
        <v>30</v>
      </c>
      <c r="AG3" s="32">
        <v>19.579999999999998</v>
      </c>
      <c r="AH3" s="44">
        <v>0.65300000000000002</v>
      </c>
      <c r="AI3" s="46">
        <v>37.6</v>
      </c>
      <c r="AJ3" s="53">
        <v>147.65</v>
      </c>
      <c r="AK3" s="53">
        <v>19.37</v>
      </c>
      <c r="AL3" s="53">
        <v>764</v>
      </c>
    </row>
    <row r="4" spans="1:38" customFormat="1" x14ac:dyDescent="0.3">
      <c r="A4" s="12" t="s">
        <v>72</v>
      </c>
      <c r="B4" s="48"/>
      <c r="C4" s="51"/>
      <c r="D4" s="48">
        <v>1</v>
      </c>
      <c r="E4" s="48">
        <v>0</v>
      </c>
      <c r="F4" s="48">
        <v>0</v>
      </c>
      <c r="G4" s="48">
        <v>1</v>
      </c>
      <c r="H4" s="48">
        <v>0</v>
      </c>
      <c r="I4" s="48">
        <v>0</v>
      </c>
      <c r="J4" s="48">
        <v>1</v>
      </c>
      <c r="K4" s="48">
        <v>0</v>
      </c>
      <c r="L4" s="48">
        <v>0</v>
      </c>
      <c r="M4" s="48">
        <v>0</v>
      </c>
      <c r="N4" s="48">
        <v>0</v>
      </c>
      <c r="O4" s="48">
        <v>1</v>
      </c>
      <c r="P4" s="2">
        <v>66</v>
      </c>
      <c r="Q4" s="2">
        <v>53</v>
      </c>
      <c r="R4" s="13">
        <v>5</v>
      </c>
      <c r="S4" s="13">
        <v>5</v>
      </c>
      <c r="T4" s="2">
        <v>109</v>
      </c>
      <c r="U4" s="2">
        <v>26</v>
      </c>
      <c r="V4" s="22">
        <v>56.44</v>
      </c>
      <c r="W4" s="2">
        <v>40.119399999999999</v>
      </c>
      <c r="X4" s="22">
        <v>21.873999999999999</v>
      </c>
      <c r="Y4" s="2">
        <v>1.157</v>
      </c>
      <c r="Z4" s="37">
        <f t="shared" si="0"/>
        <v>1157</v>
      </c>
      <c r="AA4" s="2">
        <v>5.4</v>
      </c>
      <c r="AB4" s="2">
        <v>99</v>
      </c>
      <c r="AC4" s="4"/>
      <c r="AD4" s="3"/>
      <c r="AE4" s="32">
        <v>-6.1</v>
      </c>
      <c r="AF4" s="32">
        <v>34.1</v>
      </c>
      <c r="AG4" s="32">
        <v>25.631</v>
      </c>
      <c r="AH4" s="44">
        <v>0.752</v>
      </c>
      <c r="AI4" s="46">
        <v>40.5</v>
      </c>
      <c r="AJ4" s="53">
        <v>503.25648721440223</v>
      </c>
      <c r="AK4" s="53">
        <v>34.134461621692559</v>
      </c>
      <c r="AL4" s="53">
        <v>517.5</v>
      </c>
    </row>
    <row r="5" spans="1:38" customFormat="1" x14ac:dyDescent="0.3">
      <c r="A5" s="12" t="s">
        <v>35</v>
      </c>
      <c r="B5" s="20" t="str">
        <f>IF(C5&gt;5,"ruim","bom")</f>
        <v>ruim</v>
      </c>
      <c r="C5" s="51">
        <v>7</v>
      </c>
      <c r="D5" s="20">
        <v>0</v>
      </c>
      <c r="E5" s="20">
        <v>0</v>
      </c>
      <c r="F5" s="20">
        <v>1</v>
      </c>
      <c r="G5" s="20">
        <v>0</v>
      </c>
      <c r="H5" s="20">
        <v>0</v>
      </c>
      <c r="I5" s="20">
        <v>0</v>
      </c>
      <c r="J5" s="20">
        <v>0</v>
      </c>
      <c r="K5" s="20">
        <v>1</v>
      </c>
      <c r="L5" s="20">
        <v>0</v>
      </c>
      <c r="M5" s="20">
        <v>0</v>
      </c>
      <c r="N5" s="20">
        <v>0</v>
      </c>
      <c r="O5" s="20">
        <v>0</v>
      </c>
      <c r="P5" s="2">
        <v>75</v>
      </c>
      <c r="Q5" s="2">
        <v>72</v>
      </c>
      <c r="R5" s="13">
        <v>2</v>
      </c>
      <c r="S5" s="13">
        <v>0</v>
      </c>
      <c r="T5" s="2">
        <v>106</v>
      </c>
      <c r="U5" s="2">
        <v>16</v>
      </c>
      <c r="V5" s="22">
        <v>40.323999999999998</v>
      </c>
      <c r="W5" s="22">
        <v>45.6496</v>
      </c>
      <c r="X5" s="22">
        <v>20.7773</v>
      </c>
      <c r="Y5" s="2">
        <v>1.2589999999999999</v>
      </c>
      <c r="Z5" s="37">
        <f t="shared" si="0"/>
        <v>1259</v>
      </c>
      <c r="AA5" s="2">
        <v>5.3</v>
      </c>
      <c r="AB5" s="2">
        <v>96</v>
      </c>
      <c r="AC5" s="2">
        <v>16</v>
      </c>
      <c r="AD5" s="3">
        <f>AB5*AC5/405</f>
        <v>3.7925925925925927</v>
      </c>
      <c r="AE5" s="32">
        <v>-6.4</v>
      </c>
      <c r="AF5" s="32">
        <v>36.049999999999997</v>
      </c>
      <c r="AG5" s="32">
        <v>16.202000000000002</v>
      </c>
      <c r="AH5" s="44">
        <v>0.44900000000000001</v>
      </c>
      <c r="AI5" s="46">
        <v>51.9</v>
      </c>
      <c r="AJ5" s="53">
        <v>332.5</v>
      </c>
      <c r="AK5" s="53">
        <v>45.180000000000007</v>
      </c>
      <c r="AL5" s="53">
        <v>650.5</v>
      </c>
    </row>
    <row r="6" spans="1:38" customFormat="1" x14ac:dyDescent="0.3">
      <c r="A6" s="31" t="s">
        <v>0</v>
      </c>
      <c r="B6" s="20" t="str">
        <f>IF(C6&gt;5,"ruim","bom")</f>
        <v>bom</v>
      </c>
      <c r="C6" s="51">
        <v>3</v>
      </c>
      <c r="D6" s="20">
        <v>1</v>
      </c>
      <c r="E6" s="20">
        <v>0</v>
      </c>
      <c r="F6" s="20">
        <v>1</v>
      </c>
      <c r="G6" s="20">
        <v>0</v>
      </c>
      <c r="H6" s="20">
        <v>0</v>
      </c>
      <c r="I6" s="20">
        <v>0</v>
      </c>
      <c r="J6" s="20">
        <v>1</v>
      </c>
      <c r="K6" s="20">
        <v>1</v>
      </c>
      <c r="L6" s="20">
        <v>0</v>
      </c>
      <c r="M6" s="20">
        <v>0</v>
      </c>
      <c r="N6" s="20">
        <v>1</v>
      </c>
      <c r="O6" s="20">
        <v>0</v>
      </c>
      <c r="P6" s="2">
        <v>58</v>
      </c>
      <c r="Q6" s="2">
        <v>98</v>
      </c>
      <c r="R6" s="33">
        <v>6</v>
      </c>
      <c r="S6" s="33">
        <v>1</v>
      </c>
      <c r="T6" s="34">
        <v>116.3</v>
      </c>
      <c r="U6" s="35">
        <v>28</v>
      </c>
      <c r="V6" s="36">
        <v>40.155999999999999</v>
      </c>
      <c r="W6" s="36">
        <v>30.68</v>
      </c>
      <c r="X6" s="36">
        <v>18.564</v>
      </c>
      <c r="Y6" s="34">
        <v>1.6679999999999999</v>
      </c>
      <c r="Z6" s="37">
        <f t="shared" si="0"/>
        <v>1668</v>
      </c>
      <c r="AA6" s="34">
        <v>5.8</v>
      </c>
      <c r="AB6" s="34">
        <v>81</v>
      </c>
      <c r="AC6" s="34">
        <v>8.1999999999999993</v>
      </c>
      <c r="AD6" s="2">
        <f>AB6*AC6/405</f>
        <v>1.64</v>
      </c>
      <c r="AE6" s="32">
        <v>-1.7</v>
      </c>
      <c r="AF6" s="32">
        <v>32.1</v>
      </c>
      <c r="AG6" s="32">
        <v>16.864999999999998</v>
      </c>
      <c r="AH6" s="44">
        <v>0.52500000000000002</v>
      </c>
      <c r="AI6" s="46">
        <v>42.3</v>
      </c>
      <c r="AJ6" s="53">
        <v>209.1</v>
      </c>
      <c r="AK6" s="53">
        <v>38.86999999999999</v>
      </c>
      <c r="AL6" s="53">
        <v>501.5</v>
      </c>
    </row>
    <row r="7" spans="1:38" customFormat="1" x14ac:dyDescent="0.3">
      <c r="A7" s="12" t="s">
        <v>73</v>
      </c>
      <c r="B7" s="48" t="str">
        <f>IF(C7&gt;5,"ruim","bom")</f>
        <v>ruim</v>
      </c>
      <c r="C7" s="51">
        <v>11</v>
      </c>
      <c r="D7" s="48">
        <v>0</v>
      </c>
      <c r="E7" s="48">
        <v>1</v>
      </c>
      <c r="F7" s="48">
        <v>1</v>
      </c>
      <c r="G7" s="48">
        <v>0</v>
      </c>
      <c r="H7" s="48">
        <v>0</v>
      </c>
      <c r="I7" s="48">
        <v>1</v>
      </c>
      <c r="J7" s="48">
        <v>1</v>
      </c>
      <c r="K7" s="48">
        <v>1</v>
      </c>
      <c r="L7" s="48">
        <v>1</v>
      </c>
      <c r="M7" s="48">
        <v>1</v>
      </c>
      <c r="N7" s="48">
        <v>0</v>
      </c>
      <c r="O7" s="48">
        <v>0</v>
      </c>
      <c r="P7" s="2">
        <v>29</v>
      </c>
      <c r="Q7" s="2">
        <v>28</v>
      </c>
      <c r="R7" s="13">
        <v>20</v>
      </c>
      <c r="S7" s="13">
        <v>12</v>
      </c>
      <c r="T7" s="2">
        <v>113</v>
      </c>
      <c r="U7" s="2">
        <v>14</v>
      </c>
      <c r="V7" s="22">
        <v>42.218499999999999</v>
      </c>
      <c r="W7" s="22">
        <v>35.639600000000002</v>
      </c>
      <c r="X7" s="22">
        <v>19.651199999999999</v>
      </c>
      <c r="Y7" s="2">
        <v>1.2629999999999999</v>
      </c>
      <c r="Z7" s="37">
        <f t="shared" si="0"/>
        <v>1263</v>
      </c>
      <c r="AA7" s="2">
        <v>8.1</v>
      </c>
      <c r="AB7" s="2">
        <v>114</v>
      </c>
      <c r="AC7" s="2">
        <v>120</v>
      </c>
      <c r="AD7" s="3">
        <f>AB7*AC7/405</f>
        <v>33.777777777777779</v>
      </c>
      <c r="AE7" s="32">
        <v>0.5</v>
      </c>
      <c r="AF7" s="32">
        <v>35.880000000000003</v>
      </c>
      <c r="AG7" s="32">
        <v>17.481000000000002</v>
      </c>
      <c r="AH7" s="44">
        <v>0.48699999999999999</v>
      </c>
      <c r="AI7" s="46">
        <v>44.7</v>
      </c>
      <c r="AJ7" s="49"/>
      <c r="AK7" s="49"/>
      <c r="AL7" s="49"/>
    </row>
    <row r="8" spans="1:38" customFormat="1" x14ac:dyDescent="0.3">
      <c r="A8" s="12" t="s">
        <v>74</v>
      </c>
      <c r="B8" s="20"/>
      <c r="C8" s="51"/>
      <c r="D8" s="48">
        <v>1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1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32"/>
      <c r="Q8" s="32"/>
      <c r="R8" s="13"/>
      <c r="S8" s="13"/>
      <c r="T8" s="14">
        <v>121.5</v>
      </c>
      <c r="U8" s="14">
        <v>31</v>
      </c>
      <c r="V8" s="15">
        <v>47.554400000000001</v>
      </c>
      <c r="W8" s="15">
        <v>37.652999999999999</v>
      </c>
      <c r="X8" s="15">
        <v>21.682300000000001</v>
      </c>
      <c r="Y8" s="14">
        <v>1.593</v>
      </c>
      <c r="Z8" s="37">
        <f t="shared" si="0"/>
        <v>1593</v>
      </c>
      <c r="AA8" s="23"/>
      <c r="AB8" s="23"/>
      <c r="AC8" s="23"/>
      <c r="AD8" s="3"/>
      <c r="AE8" s="32"/>
      <c r="AF8" s="32">
        <v>31.47</v>
      </c>
      <c r="AG8" s="32">
        <v>21.128</v>
      </c>
      <c r="AH8" s="44">
        <v>0.67100000000000004</v>
      </c>
      <c r="AI8" s="46">
        <v>43.2</v>
      </c>
      <c r="AJ8" s="49"/>
      <c r="AK8" s="49"/>
      <c r="AL8" s="49"/>
    </row>
    <row r="9" spans="1:38" customFormat="1" x14ac:dyDescent="0.3">
      <c r="A9" s="12" t="s">
        <v>36</v>
      </c>
      <c r="B9" s="20" t="str">
        <f t="shared" ref="B9:B19" si="1">IF(C9&gt;5,"ruim","bom")</f>
        <v>ruim</v>
      </c>
      <c r="C9" s="51">
        <v>7</v>
      </c>
      <c r="D9" s="20">
        <v>0</v>
      </c>
      <c r="E9" s="20">
        <v>0</v>
      </c>
      <c r="F9" s="20">
        <v>1</v>
      </c>
      <c r="G9" s="20">
        <v>0</v>
      </c>
      <c r="H9" s="20">
        <v>0</v>
      </c>
      <c r="I9" s="20">
        <v>1</v>
      </c>
      <c r="J9" s="20">
        <v>1</v>
      </c>
      <c r="K9" s="20">
        <v>1</v>
      </c>
      <c r="L9" s="20">
        <v>0</v>
      </c>
      <c r="M9" s="20">
        <v>1</v>
      </c>
      <c r="N9" s="20">
        <v>1</v>
      </c>
      <c r="O9" s="20">
        <v>0</v>
      </c>
      <c r="P9" s="2">
        <v>25</v>
      </c>
      <c r="Q9" s="2">
        <v>47</v>
      </c>
      <c r="R9" s="13">
        <v>4</v>
      </c>
      <c r="S9" s="13">
        <v>4</v>
      </c>
      <c r="T9" s="2">
        <v>105.3</v>
      </c>
      <c r="U9" s="2">
        <v>16</v>
      </c>
      <c r="V9" s="22">
        <v>37.811999999999998</v>
      </c>
      <c r="W9" s="22">
        <v>33.138500000000001</v>
      </c>
      <c r="X9" s="2">
        <v>16.9786</v>
      </c>
      <c r="Y9" s="2">
        <v>0.92600000000000005</v>
      </c>
      <c r="Z9" s="37">
        <f t="shared" si="0"/>
        <v>926</v>
      </c>
      <c r="AA9" s="2">
        <v>5.4</v>
      </c>
      <c r="AB9" s="2">
        <v>98</v>
      </c>
      <c r="AC9" s="2">
        <v>20.8</v>
      </c>
      <c r="AD9" s="3">
        <f>AB9*AC9/405</f>
        <v>5.0330864197530865</v>
      </c>
      <c r="AE9" s="32">
        <v>-4.7</v>
      </c>
      <c r="AF9" s="32">
        <v>31.8</v>
      </c>
      <c r="AG9" s="32">
        <v>15.433999999999999</v>
      </c>
      <c r="AH9" s="44">
        <v>0.48499999999999999</v>
      </c>
      <c r="AI9" s="46">
        <v>45.6</v>
      </c>
      <c r="AJ9" s="53">
        <v>282.25</v>
      </c>
      <c r="AK9" s="53">
        <v>52.47</v>
      </c>
      <c r="AL9" s="53">
        <v>450.5</v>
      </c>
    </row>
    <row r="10" spans="1:38" customFormat="1" x14ac:dyDescent="0.3">
      <c r="A10" s="12" t="s">
        <v>37</v>
      </c>
      <c r="B10" s="48" t="str">
        <f t="shared" si="1"/>
        <v>bom</v>
      </c>
      <c r="C10" s="51">
        <v>2</v>
      </c>
      <c r="D10" s="20">
        <v>0</v>
      </c>
      <c r="E10" s="48">
        <v>0</v>
      </c>
      <c r="F10" s="48">
        <v>1</v>
      </c>
      <c r="G10" s="48">
        <v>1</v>
      </c>
      <c r="H10" s="48">
        <v>0</v>
      </c>
      <c r="I10" s="48">
        <v>0</v>
      </c>
      <c r="J10" s="48">
        <v>1</v>
      </c>
      <c r="K10" s="48">
        <v>1</v>
      </c>
      <c r="L10" s="48">
        <v>0</v>
      </c>
      <c r="M10" s="48">
        <v>0</v>
      </c>
      <c r="N10" s="48">
        <v>0</v>
      </c>
      <c r="O10" s="48">
        <v>1</v>
      </c>
      <c r="P10" s="2">
        <v>77</v>
      </c>
      <c r="Q10" s="2">
        <v>91</v>
      </c>
      <c r="R10" s="13">
        <v>0</v>
      </c>
      <c r="S10" s="13">
        <v>0</v>
      </c>
      <c r="T10" s="17">
        <v>116.5</v>
      </c>
      <c r="U10" s="17">
        <v>15</v>
      </c>
      <c r="V10" s="18">
        <v>43.57</v>
      </c>
      <c r="W10" s="18">
        <v>41.125799999999998</v>
      </c>
      <c r="X10" s="18">
        <v>19.7</v>
      </c>
      <c r="Y10" s="17">
        <v>0.9</v>
      </c>
      <c r="Z10" s="37">
        <f t="shared" si="0"/>
        <v>900</v>
      </c>
      <c r="AA10" s="19">
        <v>5.3</v>
      </c>
      <c r="AB10" s="19">
        <v>89</v>
      </c>
      <c r="AC10" s="19">
        <v>8.5</v>
      </c>
      <c r="AD10" s="3">
        <f>AB10*AC10/405</f>
        <v>1.8679012345679011</v>
      </c>
      <c r="AE10" s="32">
        <v>0</v>
      </c>
      <c r="AF10" s="32">
        <v>36.700000000000003</v>
      </c>
      <c r="AG10" s="32">
        <v>19.228000000000002</v>
      </c>
      <c r="AH10" s="44">
        <v>0.50700000000000001</v>
      </c>
      <c r="AI10" s="46">
        <v>46.4</v>
      </c>
      <c r="AJ10" s="53">
        <v>305.5</v>
      </c>
      <c r="AK10" s="53">
        <v>21.306155213892861</v>
      </c>
      <c r="AL10" s="53">
        <v>533</v>
      </c>
    </row>
    <row r="11" spans="1:38" customFormat="1" x14ac:dyDescent="0.3">
      <c r="A11" s="12" t="s">
        <v>38</v>
      </c>
      <c r="B11" s="20" t="str">
        <f t="shared" si="1"/>
        <v>bom</v>
      </c>
      <c r="C11" s="51">
        <v>3</v>
      </c>
      <c r="D11" s="48">
        <v>0</v>
      </c>
      <c r="E11" s="20">
        <v>0</v>
      </c>
      <c r="F11" s="20">
        <v>1</v>
      </c>
      <c r="G11" s="20">
        <v>0</v>
      </c>
      <c r="H11" s="20">
        <v>0</v>
      </c>
      <c r="I11" s="20">
        <v>0</v>
      </c>
      <c r="J11" s="20">
        <v>0</v>
      </c>
      <c r="K11" s="20">
        <v>1</v>
      </c>
      <c r="L11" s="20">
        <v>0</v>
      </c>
      <c r="M11" s="20">
        <v>0</v>
      </c>
      <c r="N11" s="20">
        <v>0</v>
      </c>
      <c r="O11" s="20">
        <v>0</v>
      </c>
      <c r="P11" s="2">
        <v>80</v>
      </c>
      <c r="Q11" s="2">
        <v>85</v>
      </c>
      <c r="R11" s="13">
        <v>7</v>
      </c>
      <c r="S11" s="13">
        <v>1</v>
      </c>
      <c r="T11" s="2">
        <v>105</v>
      </c>
      <c r="U11" s="26">
        <v>12</v>
      </c>
      <c r="V11" s="22">
        <v>41.44</v>
      </c>
      <c r="W11" s="22">
        <v>38.31</v>
      </c>
      <c r="X11" s="22">
        <v>19.934999999999999</v>
      </c>
      <c r="Y11" s="2">
        <v>1.149</v>
      </c>
      <c r="Z11" s="37">
        <f t="shared" si="0"/>
        <v>1149</v>
      </c>
      <c r="AA11" s="2">
        <v>5.5</v>
      </c>
      <c r="AB11" s="2">
        <v>95</v>
      </c>
      <c r="AC11" s="2">
        <v>37.5</v>
      </c>
      <c r="AD11" s="3">
        <f>AB11*AC11/405</f>
        <v>8.7962962962962958</v>
      </c>
      <c r="AE11" s="32">
        <v>-6.6</v>
      </c>
      <c r="AF11" s="32">
        <v>34.1</v>
      </c>
      <c r="AG11" s="32">
        <v>17.297000000000001</v>
      </c>
      <c r="AH11" s="44">
        <v>0.50700000000000001</v>
      </c>
      <c r="AI11" s="46">
        <v>46.8</v>
      </c>
      <c r="AJ11" s="53">
        <v>1488.9</v>
      </c>
      <c r="AK11" s="53">
        <v>77.660000000000011</v>
      </c>
      <c r="AL11" s="53">
        <v>568.5</v>
      </c>
    </row>
    <row r="12" spans="1:38" customFormat="1" x14ac:dyDescent="0.3">
      <c r="A12" s="12" t="s">
        <v>75</v>
      </c>
      <c r="B12" s="20" t="str">
        <f t="shared" si="1"/>
        <v>ruim</v>
      </c>
      <c r="C12" s="51">
        <v>13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1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">
        <v>32</v>
      </c>
      <c r="Q12" s="2">
        <v>54</v>
      </c>
      <c r="R12" s="13">
        <v>9</v>
      </c>
      <c r="S12" s="13">
        <v>3</v>
      </c>
      <c r="T12" s="2">
        <v>108.2</v>
      </c>
      <c r="U12" s="2">
        <v>13</v>
      </c>
      <c r="V12" s="22">
        <v>37.101999999999997</v>
      </c>
      <c r="W12" s="22">
        <v>39.602200000000003</v>
      </c>
      <c r="X12" s="22">
        <v>18.5947</v>
      </c>
      <c r="Y12" s="2">
        <v>1.1739999999999999</v>
      </c>
      <c r="Z12" s="37">
        <f t="shared" si="0"/>
        <v>1174</v>
      </c>
      <c r="AA12" s="2">
        <v>5.5</v>
      </c>
      <c r="AB12" s="2">
        <v>88</v>
      </c>
      <c r="AC12" s="2">
        <v>9</v>
      </c>
      <c r="AD12" s="3">
        <f>AB12*AC12/405</f>
        <v>1.9555555555555555</v>
      </c>
      <c r="AE12" s="32">
        <v>-6.4</v>
      </c>
      <c r="AF12" s="32">
        <v>31.48</v>
      </c>
      <c r="AG12" s="32">
        <v>15.39</v>
      </c>
      <c r="AH12" s="44">
        <v>0.48899999999999999</v>
      </c>
      <c r="AI12" s="46">
        <v>50.5</v>
      </c>
      <c r="AJ12" s="53">
        <v>530.5</v>
      </c>
      <c r="AK12" s="53">
        <v>53.3</v>
      </c>
      <c r="AL12" s="53">
        <v>447.5</v>
      </c>
    </row>
    <row r="13" spans="1:38" customFormat="1" x14ac:dyDescent="0.3">
      <c r="A13" s="12" t="s">
        <v>76</v>
      </c>
      <c r="B13" s="48" t="str">
        <f t="shared" si="1"/>
        <v>bom</v>
      </c>
      <c r="C13" s="51">
        <v>2</v>
      </c>
      <c r="D13" s="20">
        <v>1</v>
      </c>
      <c r="E13" s="48">
        <v>0</v>
      </c>
      <c r="F13" s="48">
        <v>1</v>
      </c>
      <c r="G13" s="48">
        <v>0</v>
      </c>
      <c r="H13" s="48">
        <v>0</v>
      </c>
      <c r="I13" s="48">
        <v>0</v>
      </c>
      <c r="J13" s="48">
        <v>1</v>
      </c>
      <c r="K13" s="48">
        <v>1</v>
      </c>
      <c r="L13" s="48">
        <v>0</v>
      </c>
      <c r="M13" s="48">
        <v>0</v>
      </c>
      <c r="N13" s="48">
        <v>0</v>
      </c>
      <c r="O13" s="48">
        <v>0</v>
      </c>
      <c r="P13" s="2">
        <v>83</v>
      </c>
      <c r="Q13" s="2">
        <v>77</v>
      </c>
      <c r="R13" s="13">
        <v>1</v>
      </c>
      <c r="S13" s="13">
        <v>3</v>
      </c>
      <c r="T13" s="20">
        <v>110</v>
      </c>
      <c r="U13" s="17">
        <v>31</v>
      </c>
      <c r="V13" s="21">
        <v>54.116</v>
      </c>
      <c r="W13" s="21">
        <v>34.912999999999997</v>
      </c>
      <c r="X13" s="21">
        <v>18.015999999999998</v>
      </c>
      <c r="Y13" s="20">
        <v>1.127</v>
      </c>
      <c r="Z13" s="37">
        <f t="shared" si="0"/>
        <v>1127</v>
      </c>
      <c r="AA13" s="2">
        <v>5.8</v>
      </c>
      <c r="AB13" s="2">
        <v>94</v>
      </c>
      <c r="AC13" s="4"/>
      <c r="AD13" s="3"/>
      <c r="AE13" s="32">
        <v>-4.3</v>
      </c>
      <c r="AF13" s="32">
        <v>31.1</v>
      </c>
      <c r="AG13" s="32">
        <v>23.347000000000001</v>
      </c>
      <c r="AH13" s="44">
        <v>0.751</v>
      </c>
      <c r="AI13" s="46">
        <v>38</v>
      </c>
      <c r="AJ13" s="53">
        <v>283.32806054589611</v>
      </c>
      <c r="AK13" s="53">
        <v>38.044087357675657</v>
      </c>
      <c r="AL13" s="53">
        <v>556</v>
      </c>
    </row>
    <row r="14" spans="1:38" customFormat="1" x14ac:dyDescent="0.3">
      <c r="A14" s="31" t="s">
        <v>1</v>
      </c>
      <c r="B14" s="20" t="str">
        <f t="shared" si="1"/>
        <v>ruim</v>
      </c>
      <c r="C14" s="51">
        <v>11</v>
      </c>
      <c r="D14" s="48">
        <v>0</v>
      </c>
      <c r="E14" s="20">
        <v>1</v>
      </c>
      <c r="F14" s="20">
        <v>1</v>
      </c>
      <c r="G14" s="20">
        <v>0</v>
      </c>
      <c r="H14" s="20">
        <v>0</v>
      </c>
      <c r="I14" s="20">
        <v>0</v>
      </c>
      <c r="J14" s="20">
        <v>0</v>
      </c>
      <c r="K14" s="20">
        <v>1</v>
      </c>
      <c r="L14" s="20">
        <v>1</v>
      </c>
      <c r="M14" s="20">
        <v>0</v>
      </c>
      <c r="N14" s="20">
        <v>1</v>
      </c>
      <c r="O14" s="20">
        <v>0</v>
      </c>
      <c r="P14" s="2">
        <v>8</v>
      </c>
      <c r="Q14" s="2">
        <v>45</v>
      </c>
      <c r="R14" s="33">
        <v>7</v>
      </c>
      <c r="S14" s="33">
        <v>6</v>
      </c>
      <c r="T14" s="34">
        <v>114</v>
      </c>
      <c r="U14" s="34">
        <v>20</v>
      </c>
      <c r="V14" s="36">
        <v>41.247599999999998</v>
      </c>
      <c r="W14" s="36">
        <v>46.8459</v>
      </c>
      <c r="X14" s="36">
        <v>23.310700000000001</v>
      </c>
      <c r="Y14" s="34">
        <v>1.41</v>
      </c>
      <c r="Z14" s="37">
        <f t="shared" si="0"/>
        <v>1410</v>
      </c>
      <c r="AA14" s="34">
        <v>6.6</v>
      </c>
      <c r="AB14" s="34">
        <v>104</v>
      </c>
      <c r="AC14" s="34" t="s">
        <v>105</v>
      </c>
      <c r="AD14" s="2"/>
      <c r="AE14" s="32">
        <v>-1.5</v>
      </c>
      <c r="AF14" s="32">
        <v>39.6</v>
      </c>
      <c r="AG14" s="32">
        <v>17.466999999999999</v>
      </c>
      <c r="AH14" s="44">
        <v>0.442</v>
      </c>
      <c r="AI14" s="46">
        <v>51.9</v>
      </c>
      <c r="AJ14" s="53">
        <v>561.12449824286784</v>
      </c>
      <c r="AK14" s="53">
        <v>63.480000000000018</v>
      </c>
      <c r="AL14" s="53">
        <v>762.5</v>
      </c>
    </row>
    <row r="15" spans="1:38" customFormat="1" x14ac:dyDescent="0.3">
      <c r="A15" s="12" t="s">
        <v>39</v>
      </c>
      <c r="B15" s="20" t="str">
        <f t="shared" si="1"/>
        <v>bom</v>
      </c>
      <c r="C15" s="51">
        <v>2</v>
      </c>
      <c r="D15" s="48">
        <v>0</v>
      </c>
      <c r="E15" s="20">
        <v>1</v>
      </c>
      <c r="F15" s="20">
        <v>1</v>
      </c>
      <c r="G15" s="20">
        <v>0</v>
      </c>
      <c r="H15" s="20">
        <v>0</v>
      </c>
      <c r="I15" s="20">
        <v>0</v>
      </c>
      <c r="J15" s="20">
        <v>1</v>
      </c>
      <c r="K15" s="20">
        <v>1</v>
      </c>
      <c r="L15" s="20">
        <v>1</v>
      </c>
      <c r="M15" s="20">
        <v>0</v>
      </c>
      <c r="N15" s="20">
        <v>0</v>
      </c>
      <c r="O15" s="20">
        <v>0</v>
      </c>
      <c r="P15" s="2">
        <v>60</v>
      </c>
      <c r="Q15" s="2">
        <v>98</v>
      </c>
      <c r="R15" s="13">
        <v>0</v>
      </c>
      <c r="S15" s="13">
        <v>0</v>
      </c>
      <c r="T15" s="2">
        <v>143.5</v>
      </c>
      <c r="U15" s="2">
        <v>21</v>
      </c>
      <c r="V15" s="22">
        <v>42.93</v>
      </c>
      <c r="W15" s="22">
        <v>53.0334</v>
      </c>
      <c r="X15" s="22">
        <v>33.415700000000001</v>
      </c>
      <c r="Y15" s="2">
        <v>2.335</v>
      </c>
      <c r="Z15" s="37">
        <f t="shared" si="0"/>
        <v>2335</v>
      </c>
      <c r="AA15" s="2">
        <v>6.5</v>
      </c>
      <c r="AB15" s="2">
        <v>128</v>
      </c>
      <c r="AC15" s="19">
        <v>36.4</v>
      </c>
      <c r="AD15" s="3">
        <f>AB15*AC15/405</f>
        <v>11.504197530864197</v>
      </c>
      <c r="AE15" s="32">
        <v>-0.9</v>
      </c>
      <c r="AF15" s="32">
        <v>46.6</v>
      </c>
      <c r="AG15" s="32">
        <v>17.86</v>
      </c>
      <c r="AH15" s="44">
        <v>0.38300000000000001</v>
      </c>
      <c r="AI15" s="46">
        <v>54.4</v>
      </c>
      <c r="AJ15" s="53">
        <v>512.45000000000016</v>
      </c>
      <c r="AK15" s="53">
        <v>47.84</v>
      </c>
      <c r="AL15" s="53">
        <v>1011</v>
      </c>
    </row>
    <row r="16" spans="1:38" customFormat="1" x14ac:dyDescent="0.3">
      <c r="A16" s="12" t="s">
        <v>77</v>
      </c>
      <c r="B16" s="48" t="str">
        <f t="shared" si="1"/>
        <v>bom</v>
      </c>
      <c r="C16" s="51">
        <v>4</v>
      </c>
      <c r="D16" s="20">
        <v>0</v>
      </c>
      <c r="E16" s="48">
        <v>0</v>
      </c>
      <c r="F16" s="48">
        <v>0</v>
      </c>
      <c r="G16" s="48">
        <v>1</v>
      </c>
      <c r="H16" s="48">
        <v>0</v>
      </c>
      <c r="I16" s="48">
        <v>1</v>
      </c>
      <c r="J16" s="48">
        <v>1</v>
      </c>
      <c r="K16" s="48">
        <v>0</v>
      </c>
      <c r="L16" s="48">
        <v>0</v>
      </c>
      <c r="M16" s="48">
        <v>1</v>
      </c>
      <c r="N16" s="48">
        <v>1</v>
      </c>
      <c r="O16" s="48">
        <v>1</v>
      </c>
      <c r="P16" s="2">
        <v>55</v>
      </c>
      <c r="Q16" s="2">
        <v>71</v>
      </c>
      <c r="R16" s="13">
        <v>2</v>
      </c>
      <c r="S16" s="13">
        <v>3</v>
      </c>
      <c r="T16" s="2">
        <v>109.4</v>
      </c>
      <c r="U16" s="2">
        <v>16</v>
      </c>
      <c r="V16" s="22">
        <v>37.217799999999997</v>
      </c>
      <c r="W16" s="22">
        <v>41.137599999999999</v>
      </c>
      <c r="X16" s="22">
        <v>21.97</v>
      </c>
      <c r="Y16" s="2">
        <v>1.4139999999999999</v>
      </c>
      <c r="Z16" s="37">
        <f t="shared" si="0"/>
        <v>1414</v>
      </c>
      <c r="AA16" s="2">
        <v>5.6</v>
      </c>
      <c r="AB16" s="2">
        <v>85</v>
      </c>
      <c r="AC16" s="2">
        <v>12.3</v>
      </c>
      <c r="AD16" s="3">
        <f>AB16*AC16/405</f>
        <v>2.5814814814814815</v>
      </c>
      <c r="AE16" s="32">
        <v>-4.5</v>
      </c>
      <c r="AF16" s="32">
        <v>31.6</v>
      </c>
      <c r="AG16" s="32">
        <v>15.712</v>
      </c>
      <c r="AH16" s="44">
        <v>0.497</v>
      </c>
      <c r="AI16" s="46">
        <v>51.3</v>
      </c>
      <c r="AJ16" s="53">
        <v>281.50358630948142</v>
      </c>
      <c r="AK16" s="53">
        <v>35.655000000000001</v>
      </c>
      <c r="AL16" s="53">
        <v>525</v>
      </c>
    </row>
    <row r="17" spans="1:38" customFormat="1" x14ac:dyDescent="0.3">
      <c r="A17" s="31" t="s">
        <v>2</v>
      </c>
      <c r="B17" s="20" t="str">
        <f t="shared" si="1"/>
        <v>ruim</v>
      </c>
      <c r="C17" s="51">
        <v>6</v>
      </c>
      <c r="D17" s="20">
        <v>1</v>
      </c>
      <c r="E17" s="20">
        <v>1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1</v>
      </c>
      <c r="M17" s="20">
        <v>0</v>
      </c>
      <c r="N17" s="20">
        <v>0</v>
      </c>
      <c r="O17" s="20">
        <v>0</v>
      </c>
      <c r="P17" s="2">
        <v>81</v>
      </c>
      <c r="Q17" s="2">
        <v>90</v>
      </c>
      <c r="R17" s="33">
        <v>4</v>
      </c>
      <c r="S17" s="33">
        <v>0</v>
      </c>
      <c r="T17" s="38">
        <v>116</v>
      </c>
      <c r="U17" s="38">
        <v>26</v>
      </c>
      <c r="V17" s="39">
        <v>63.07</v>
      </c>
      <c r="W17" s="39">
        <v>44.924999999999997</v>
      </c>
      <c r="X17" s="39">
        <v>25.442</v>
      </c>
      <c r="Y17" s="38">
        <v>1.298</v>
      </c>
      <c r="Z17" s="37">
        <f t="shared" si="0"/>
        <v>1298</v>
      </c>
      <c r="AA17" s="38">
        <v>8</v>
      </c>
      <c r="AB17" s="38">
        <v>187</v>
      </c>
      <c r="AC17" s="38">
        <v>25.8</v>
      </c>
      <c r="AD17" s="3">
        <f>AB17*AC17/405</f>
        <v>11.912592592592594</v>
      </c>
      <c r="AE17" s="32"/>
      <c r="AF17" s="32">
        <v>36.479999999999997</v>
      </c>
      <c r="AG17" s="32">
        <v>28.4</v>
      </c>
      <c r="AH17" s="44">
        <v>0.77900000000000003</v>
      </c>
      <c r="AI17" s="46">
        <v>40.5</v>
      </c>
      <c r="AJ17" s="49"/>
      <c r="AK17" s="49"/>
      <c r="AL17" s="49"/>
    </row>
    <row r="18" spans="1:38" customFormat="1" x14ac:dyDescent="0.3">
      <c r="A18" s="31" t="s">
        <v>3</v>
      </c>
      <c r="B18" s="20" t="str">
        <f t="shared" si="1"/>
        <v>ruim</v>
      </c>
      <c r="C18" s="51">
        <v>6</v>
      </c>
      <c r="D18" s="48">
        <v>1</v>
      </c>
      <c r="E18" s="20">
        <v>1</v>
      </c>
      <c r="F18" s="20">
        <v>1</v>
      </c>
      <c r="G18" s="20">
        <v>0</v>
      </c>
      <c r="H18" s="20">
        <v>1</v>
      </c>
      <c r="I18" s="20">
        <v>1</v>
      </c>
      <c r="J18" s="20">
        <v>0</v>
      </c>
      <c r="K18" s="20">
        <v>1</v>
      </c>
      <c r="L18" s="20">
        <v>1</v>
      </c>
      <c r="M18" s="20">
        <v>1</v>
      </c>
      <c r="N18" s="20">
        <v>0</v>
      </c>
      <c r="O18" s="20">
        <v>0</v>
      </c>
      <c r="P18" s="2">
        <v>47</v>
      </c>
      <c r="Q18" s="2">
        <v>84</v>
      </c>
      <c r="R18" s="33"/>
      <c r="S18" s="33">
        <v>6</v>
      </c>
      <c r="T18" s="34">
        <v>102.8</v>
      </c>
      <c r="U18" s="34">
        <v>26</v>
      </c>
      <c r="V18" s="34">
        <v>41.831000000000003</v>
      </c>
      <c r="W18" s="34">
        <v>25.466999999999999</v>
      </c>
      <c r="X18" s="36">
        <v>13.695</v>
      </c>
      <c r="Y18" s="34">
        <v>0.89400000000000002</v>
      </c>
      <c r="Z18" s="37">
        <f t="shared" si="0"/>
        <v>894</v>
      </c>
      <c r="AA18" s="34">
        <v>6</v>
      </c>
      <c r="AB18" s="34">
        <v>83</v>
      </c>
      <c r="AC18" s="34">
        <v>13.8</v>
      </c>
      <c r="AD18" s="3">
        <f>AB18*AC18/405</f>
        <v>2.8281481481481485</v>
      </c>
      <c r="AE18" s="32">
        <v>-1.3</v>
      </c>
      <c r="AF18" s="32">
        <v>30.2</v>
      </c>
      <c r="AG18" s="32">
        <v>16.664999999999999</v>
      </c>
      <c r="AH18" s="44">
        <v>0.55200000000000005</v>
      </c>
      <c r="AI18" s="46">
        <v>36.799999999999997</v>
      </c>
      <c r="AJ18" s="53">
        <v>192.45</v>
      </c>
      <c r="AK18" s="53">
        <v>35.225000000000001</v>
      </c>
      <c r="AL18" s="53">
        <v>585.5</v>
      </c>
    </row>
    <row r="19" spans="1:38" customFormat="1" x14ac:dyDescent="0.3">
      <c r="A19" s="31" t="s">
        <v>4</v>
      </c>
      <c r="B19" s="48" t="str">
        <f t="shared" si="1"/>
        <v>bom</v>
      </c>
      <c r="C19" s="51">
        <v>3</v>
      </c>
      <c r="D19" s="20">
        <v>0</v>
      </c>
      <c r="E19" s="48">
        <v>1</v>
      </c>
      <c r="F19" s="48">
        <v>1</v>
      </c>
      <c r="G19" s="48">
        <v>1</v>
      </c>
      <c r="H19" s="48">
        <v>0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0</v>
      </c>
      <c r="O19" s="48">
        <v>1</v>
      </c>
      <c r="P19" s="2">
        <v>52</v>
      </c>
      <c r="Q19" s="2">
        <v>49</v>
      </c>
      <c r="R19" s="33">
        <v>6</v>
      </c>
      <c r="S19" s="33">
        <v>4</v>
      </c>
      <c r="T19" s="40">
        <v>93</v>
      </c>
      <c r="U19" s="40">
        <v>20</v>
      </c>
      <c r="V19" s="41">
        <v>38.189</v>
      </c>
      <c r="W19" s="41">
        <v>29.2837</v>
      </c>
      <c r="X19" s="41">
        <v>14.987</v>
      </c>
      <c r="Y19" s="40">
        <v>0.91700000000000004</v>
      </c>
      <c r="Z19" s="37">
        <f t="shared" si="0"/>
        <v>917</v>
      </c>
      <c r="AA19" s="42">
        <v>6.8</v>
      </c>
      <c r="AB19" s="42">
        <v>155</v>
      </c>
      <c r="AC19" s="42">
        <v>8</v>
      </c>
      <c r="AD19" s="3">
        <f>AB19*AC19/405</f>
        <v>3.0617283950617282</v>
      </c>
      <c r="AE19" s="32">
        <v>1.1000000000000001</v>
      </c>
      <c r="AF19" s="32">
        <v>29.6</v>
      </c>
      <c r="AG19" s="32">
        <v>16.036000000000001</v>
      </c>
      <c r="AH19" s="44">
        <v>0.54300000000000004</v>
      </c>
      <c r="AI19" s="46">
        <v>42.2</v>
      </c>
      <c r="AJ19" s="53">
        <v>229.56022027432269</v>
      </c>
      <c r="AK19" s="53">
        <v>27.61001919219121</v>
      </c>
      <c r="AL19" s="53">
        <v>1100</v>
      </c>
    </row>
    <row r="20" spans="1:38" customFormat="1" x14ac:dyDescent="0.3">
      <c r="A20" s="31" t="s">
        <v>5</v>
      </c>
      <c r="B20" s="20"/>
      <c r="C20" s="51"/>
      <c r="D20" s="20">
        <v>1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1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32"/>
      <c r="Q20" s="32"/>
      <c r="R20" s="33"/>
      <c r="S20" s="33"/>
      <c r="T20" s="38">
        <v>107</v>
      </c>
      <c r="U20" s="38">
        <v>31</v>
      </c>
      <c r="V20" s="39">
        <v>42.62</v>
      </c>
      <c r="W20" s="39">
        <v>36.536000000000001</v>
      </c>
      <c r="X20" s="39">
        <v>22.24</v>
      </c>
      <c r="Y20" s="38">
        <v>1.605</v>
      </c>
      <c r="Z20" s="37">
        <f t="shared" si="0"/>
        <v>1605</v>
      </c>
      <c r="AA20" s="38"/>
      <c r="AB20" s="38"/>
      <c r="AC20" s="38"/>
      <c r="AD20" s="3"/>
      <c r="AE20" s="32"/>
      <c r="AF20" s="32">
        <v>31.33</v>
      </c>
      <c r="AG20" s="32">
        <v>19.600000000000001</v>
      </c>
      <c r="AH20" s="44">
        <v>0.626</v>
      </c>
      <c r="AI20" s="46">
        <v>46.2</v>
      </c>
      <c r="AJ20" s="49"/>
      <c r="AK20" s="49"/>
      <c r="AL20" s="49"/>
    </row>
    <row r="21" spans="1:38" customFormat="1" x14ac:dyDescent="0.3">
      <c r="A21" s="12" t="s">
        <v>78</v>
      </c>
      <c r="B21" s="20"/>
      <c r="C21" s="51"/>
      <c r="D21" s="48">
        <v>1</v>
      </c>
      <c r="E21" s="20">
        <v>0</v>
      </c>
      <c r="F21" s="20">
        <v>1</v>
      </c>
      <c r="G21" s="20">
        <v>0</v>
      </c>
      <c r="H21" s="20">
        <v>0</v>
      </c>
      <c r="I21" s="20">
        <v>1</v>
      </c>
      <c r="J21" s="20">
        <v>1</v>
      </c>
      <c r="K21" s="20">
        <v>1</v>
      </c>
      <c r="L21" s="20">
        <v>0</v>
      </c>
      <c r="M21" s="20">
        <v>1</v>
      </c>
      <c r="N21" s="20">
        <v>0</v>
      </c>
      <c r="O21" s="20">
        <v>0</v>
      </c>
      <c r="P21" s="32"/>
      <c r="Q21" s="32"/>
      <c r="R21" s="13"/>
      <c r="S21" s="13"/>
      <c r="T21" s="14">
        <v>116</v>
      </c>
      <c r="U21" s="14">
        <v>20</v>
      </c>
      <c r="V21" s="15">
        <v>50.292000000000002</v>
      </c>
      <c r="W21" s="15">
        <v>37.927</v>
      </c>
      <c r="X21" s="15">
        <v>20.369</v>
      </c>
      <c r="Y21" s="14">
        <v>1.573</v>
      </c>
      <c r="Z21" s="37">
        <f t="shared" si="0"/>
        <v>1573</v>
      </c>
      <c r="AA21" s="23"/>
      <c r="AB21" s="23"/>
      <c r="AC21" s="23"/>
      <c r="AD21" s="3"/>
      <c r="AE21" s="32"/>
      <c r="AF21" s="32">
        <v>33.700000000000003</v>
      </c>
      <c r="AG21" s="32">
        <v>22.725999999999999</v>
      </c>
      <c r="AH21" s="44">
        <v>0.67400000000000004</v>
      </c>
      <c r="AI21" s="46">
        <v>41.9</v>
      </c>
      <c r="AJ21" s="49"/>
      <c r="AK21" s="49"/>
      <c r="AL21" s="49"/>
    </row>
    <row r="22" spans="1:38" customFormat="1" x14ac:dyDescent="0.3">
      <c r="A22" s="12" t="s">
        <v>40</v>
      </c>
      <c r="B22" s="48" t="str">
        <f t="shared" ref="B22:B27" si="2">IF(C22&gt;5,"ruim","bom")</f>
        <v>bom</v>
      </c>
      <c r="C22" s="51">
        <v>4</v>
      </c>
      <c r="D22" s="48">
        <v>1</v>
      </c>
      <c r="E22" s="48">
        <v>1</v>
      </c>
      <c r="F22" s="48">
        <v>1</v>
      </c>
      <c r="G22" s="48">
        <v>0</v>
      </c>
      <c r="H22" s="48">
        <v>0</v>
      </c>
      <c r="I22" s="48">
        <v>1</v>
      </c>
      <c r="J22" s="48">
        <v>1</v>
      </c>
      <c r="K22" s="48">
        <v>1</v>
      </c>
      <c r="L22" s="48">
        <v>1</v>
      </c>
      <c r="M22" s="48">
        <v>1</v>
      </c>
      <c r="N22" s="48">
        <v>0</v>
      </c>
      <c r="O22" s="48">
        <v>0</v>
      </c>
      <c r="P22" s="2">
        <v>86</v>
      </c>
      <c r="Q22" s="2">
        <v>76</v>
      </c>
      <c r="R22" s="13">
        <v>7</v>
      </c>
      <c r="S22" s="13">
        <v>5</v>
      </c>
      <c r="T22" s="2">
        <v>112.8</v>
      </c>
      <c r="U22" s="2">
        <v>30</v>
      </c>
      <c r="V22" s="22">
        <v>39.857999999999997</v>
      </c>
      <c r="W22" s="22">
        <v>40.089199999999998</v>
      </c>
      <c r="X22" s="22">
        <v>20.530999999999999</v>
      </c>
      <c r="Y22" s="2">
        <v>0.59899999999999998</v>
      </c>
      <c r="Z22" s="37">
        <f t="shared" si="0"/>
        <v>599</v>
      </c>
      <c r="AA22" s="2">
        <v>6.3</v>
      </c>
      <c r="AB22" s="2">
        <v>98</v>
      </c>
      <c r="AC22" s="2">
        <v>22.6</v>
      </c>
      <c r="AD22" s="3">
        <f t="shared" ref="AD22:AD37" si="3">AB22*AC22/405</f>
        <v>5.4686419753086426</v>
      </c>
      <c r="AE22" s="32">
        <v>-6.7</v>
      </c>
      <c r="AF22" s="32">
        <v>36.200000000000003</v>
      </c>
      <c r="AG22" s="32">
        <v>18.199000000000002</v>
      </c>
      <c r="AH22" s="44">
        <v>0.503</v>
      </c>
      <c r="AI22" s="46">
        <v>49</v>
      </c>
      <c r="AJ22" s="53">
        <v>401.03253864590812</v>
      </c>
      <c r="AK22" s="53">
        <v>47.154865190058807</v>
      </c>
      <c r="AL22" s="53">
        <v>717.9188330351767</v>
      </c>
    </row>
    <row r="23" spans="1:38" customFormat="1" x14ac:dyDescent="0.3">
      <c r="A23" s="12" t="s">
        <v>41</v>
      </c>
      <c r="B23" s="20" t="str">
        <f t="shared" si="2"/>
        <v>bom</v>
      </c>
      <c r="C23" s="51">
        <v>4</v>
      </c>
      <c r="D23" s="20">
        <v>0</v>
      </c>
      <c r="E23" s="20">
        <v>0</v>
      </c>
      <c r="F23" s="20">
        <v>1</v>
      </c>
      <c r="G23" s="20">
        <v>0</v>
      </c>
      <c r="H23" s="20">
        <v>0</v>
      </c>
      <c r="I23" s="20">
        <v>0</v>
      </c>
      <c r="J23" s="20">
        <v>1</v>
      </c>
      <c r="K23" s="20">
        <v>1</v>
      </c>
      <c r="L23" s="20">
        <v>0</v>
      </c>
      <c r="M23" s="20">
        <v>0</v>
      </c>
      <c r="N23" s="20">
        <v>0</v>
      </c>
      <c r="O23" s="20">
        <v>0</v>
      </c>
      <c r="P23" s="2">
        <v>81</v>
      </c>
      <c r="Q23" s="2">
        <v>92</v>
      </c>
      <c r="R23" s="13">
        <v>4</v>
      </c>
      <c r="S23" s="13">
        <v>2</v>
      </c>
      <c r="T23" s="2">
        <v>90.5</v>
      </c>
      <c r="U23" s="3">
        <v>16</v>
      </c>
      <c r="V23" s="22">
        <v>33.131</v>
      </c>
      <c r="W23" s="22">
        <v>32.454000000000001</v>
      </c>
      <c r="X23" s="22">
        <v>15.048</v>
      </c>
      <c r="Y23" s="2">
        <v>0.94</v>
      </c>
      <c r="Z23" s="37">
        <f t="shared" si="0"/>
        <v>940</v>
      </c>
      <c r="AA23" s="2">
        <v>5.4</v>
      </c>
      <c r="AB23" s="2">
        <v>102</v>
      </c>
      <c r="AC23" s="2">
        <v>14.4</v>
      </c>
      <c r="AD23" s="3">
        <f t="shared" si="3"/>
        <v>3.6266666666666665</v>
      </c>
      <c r="AE23" s="32">
        <v>-3.7</v>
      </c>
      <c r="AF23" s="32">
        <v>31.1</v>
      </c>
      <c r="AG23" s="32">
        <v>13.34</v>
      </c>
      <c r="AH23" s="44">
        <v>0.42899999999999999</v>
      </c>
      <c r="AI23" s="46">
        <v>48.2</v>
      </c>
      <c r="AJ23" s="53">
        <v>975.65000000000009</v>
      </c>
      <c r="AK23" s="53">
        <v>79.502304184300698</v>
      </c>
      <c r="AL23" s="53">
        <v>594</v>
      </c>
    </row>
    <row r="24" spans="1:38" customFormat="1" x14ac:dyDescent="0.3">
      <c r="A24" s="12" t="s">
        <v>79</v>
      </c>
      <c r="B24" s="20" t="str">
        <f t="shared" si="2"/>
        <v>ruim</v>
      </c>
      <c r="C24" s="51">
        <v>9</v>
      </c>
      <c r="D24" s="20">
        <v>0</v>
      </c>
      <c r="E24" s="20">
        <v>1</v>
      </c>
      <c r="F24" s="20">
        <v>1</v>
      </c>
      <c r="G24" s="20">
        <v>0</v>
      </c>
      <c r="H24" s="20">
        <v>0</v>
      </c>
      <c r="I24" s="20">
        <v>1</v>
      </c>
      <c r="J24" s="20">
        <v>0</v>
      </c>
      <c r="K24" s="20">
        <v>1</v>
      </c>
      <c r="L24" s="20">
        <v>1</v>
      </c>
      <c r="M24" s="20">
        <v>1</v>
      </c>
      <c r="N24" s="20">
        <v>1</v>
      </c>
      <c r="O24" s="20">
        <v>0</v>
      </c>
      <c r="P24" s="2">
        <v>70</v>
      </c>
      <c r="Q24" s="2">
        <v>80</v>
      </c>
      <c r="R24" s="13">
        <v>8</v>
      </c>
      <c r="S24" s="13">
        <v>2</v>
      </c>
      <c r="T24" s="2">
        <v>101</v>
      </c>
      <c r="U24" s="3">
        <v>16</v>
      </c>
      <c r="V24" s="22">
        <v>38.691000000000003</v>
      </c>
      <c r="W24" s="22">
        <v>42.365000000000002</v>
      </c>
      <c r="X24" s="22">
        <v>22.088000000000001</v>
      </c>
      <c r="Y24" s="2">
        <v>1.006</v>
      </c>
      <c r="Z24" s="37">
        <f t="shared" si="0"/>
        <v>1006</v>
      </c>
      <c r="AA24" s="2">
        <v>6.1</v>
      </c>
      <c r="AB24" s="2">
        <v>102</v>
      </c>
      <c r="AC24" s="2">
        <v>28.8</v>
      </c>
      <c r="AD24" s="3">
        <f t="shared" si="3"/>
        <v>7.253333333333333</v>
      </c>
      <c r="AE24" s="32">
        <v>-5.9</v>
      </c>
      <c r="AF24" s="32">
        <v>32.4</v>
      </c>
      <c r="AG24" s="32">
        <v>15.901</v>
      </c>
      <c r="AH24" s="44">
        <v>0.49099999999999999</v>
      </c>
      <c r="AI24" s="46">
        <v>50.9</v>
      </c>
      <c r="AJ24" s="53">
        <v>483.4970372654825</v>
      </c>
      <c r="AK24" s="53">
        <v>50.832539787763523</v>
      </c>
      <c r="AL24" s="53">
        <v>603.80782552835524</v>
      </c>
    </row>
    <row r="25" spans="1:38" customFormat="1" x14ac:dyDescent="0.3">
      <c r="A25" s="12" t="s">
        <v>42</v>
      </c>
      <c r="B25" s="48" t="str">
        <f t="shared" si="2"/>
        <v>ruim</v>
      </c>
      <c r="C25" s="51">
        <v>7</v>
      </c>
      <c r="D25" s="48">
        <v>0</v>
      </c>
      <c r="E25" s="48">
        <v>0</v>
      </c>
      <c r="F25" s="48">
        <v>1</v>
      </c>
      <c r="G25" s="48">
        <v>1</v>
      </c>
      <c r="H25" s="48">
        <v>1</v>
      </c>
      <c r="I25" s="48">
        <v>0</v>
      </c>
      <c r="J25" s="48">
        <v>1</v>
      </c>
      <c r="K25" s="48">
        <v>1</v>
      </c>
      <c r="L25" s="48">
        <v>0</v>
      </c>
      <c r="M25" s="48">
        <v>0</v>
      </c>
      <c r="N25" s="48">
        <v>0</v>
      </c>
      <c r="O25" s="48">
        <v>1</v>
      </c>
      <c r="P25" s="2">
        <v>62</v>
      </c>
      <c r="Q25" s="2">
        <v>81</v>
      </c>
      <c r="R25" s="13">
        <v>4</v>
      </c>
      <c r="S25" s="13">
        <v>4</v>
      </c>
      <c r="T25" s="27">
        <v>99.5</v>
      </c>
      <c r="U25" s="27">
        <v>13</v>
      </c>
      <c r="V25" s="15">
        <v>31.1111</v>
      </c>
      <c r="W25" s="28">
        <v>36.329300000000003</v>
      </c>
      <c r="X25" s="28">
        <v>19.57</v>
      </c>
      <c r="Y25" s="27">
        <v>1.018</v>
      </c>
      <c r="Z25" s="37">
        <f t="shared" si="0"/>
        <v>1018</v>
      </c>
      <c r="AA25" s="14">
        <v>6.6</v>
      </c>
      <c r="AB25" s="14">
        <v>97</v>
      </c>
      <c r="AC25" s="14">
        <v>9.1</v>
      </c>
      <c r="AD25" s="3">
        <f t="shared" si="3"/>
        <v>2.1795061728395062</v>
      </c>
      <c r="AE25" s="32"/>
      <c r="AF25" s="32">
        <v>33.9</v>
      </c>
      <c r="AG25" s="32">
        <v>11.426</v>
      </c>
      <c r="AH25" s="44">
        <v>0.33700000000000002</v>
      </c>
      <c r="AI25" s="46">
        <v>52.6</v>
      </c>
      <c r="AJ25" s="53">
        <v>314.89055366084352</v>
      </c>
      <c r="AK25" s="53">
        <v>37.396269476701427</v>
      </c>
      <c r="AL25" s="53">
        <v>728.5</v>
      </c>
    </row>
    <row r="26" spans="1:38" customFormat="1" x14ac:dyDescent="0.3">
      <c r="A26" s="31" t="s">
        <v>6</v>
      </c>
      <c r="B26" s="20" t="str">
        <f t="shared" si="2"/>
        <v>ruim</v>
      </c>
      <c r="C26" s="51">
        <v>9</v>
      </c>
      <c r="D26" s="20">
        <v>0</v>
      </c>
      <c r="E26" s="20">
        <v>0</v>
      </c>
      <c r="F26" s="20">
        <v>0</v>
      </c>
      <c r="G26" s="20">
        <v>0</v>
      </c>
      <c r="H26" s="20">
        <v>1</v>
      </c>
      <c r="I26" s="20">
        <v>0</v>
      </c>
      <c r="J26" s="20">
        <v>1</v>
      </c>
      <c r="K26" s="20">
        <v>0</v>
      </c>
      <c r="L26" s="20">
        <v>0</v>
      </c>
      <c r="M26" s="20">
        <v>0</v>
      </c>
      <c r="N26" s="20">
        <v>0</v>
      </c>
      <c r="O26" s="20">
        <v>0</v>
      </c>
      <c r="P26" s="2">
        <v>77</v>
      </c>
      <c r="Q26" s="2">
        <v>79</v>
      </c>
      <c r="R26" s="33">
        <v>8</v>
      </c>
      <c r="S26" s="33">
        <v>2</v>
      </c>
      <c r="T26" s="34">
        <v>103</v>
      </c>
      <c r="U26" s="34">
        <v>18</v>
      </c>
      <c r="V26" s="36">
        <v>35.520000000000003</v>
      </c>
      <c r="W26" s="36">
        <v>35.411499999999997</v>
      </c>
      <c r="X26" s="36">
        <v>16.742999999999999</v>
      </c>
      <c r="Y26" s="34">
        <v>0.59199999999999997</v>
      </c>
      <c r="Z26" s="37">
        <f t="shared" si="0"/>
        <v>592</v>
      </c>
      <c r="AA26" s="34">
        <v>5.2</v>
      </c>
      <c r="AB26" s="34">
        <v>114</v>
      </c>
      <c r="AC26" s="34">
        <v>5.8</v>
      </c>
      <c r="AD26" s="3">
        <f t="shared" si="3"/>
        <v>1.6325925925925924</v>
      </c>
      <c r="AE26" s="32">
        <v>0.1</v>
      </c>
      <c r="AF26" s="32">
        <v>31.6</v>
      </c>
      <c r="AG26" s="32">
        <v>14.936999999999999</v>
      </c>
      <c r="AH26" s="44">
        <v>0.47299999999999998</v>
      </c>
      <c r="AI26" s="46">
        <v>48.7</v>
      </c>
      <c r="AJ26" s="53">
        <v>341.91428763734012</v>
      </c>
      <c r="AK26" s="53">
        <v>30.476653097595769</v>
      </c>
      <c r="AL26" s="53">
        <v>562.71345985488585</v>
      </c>
    </row>
    <row r="27" spans="1:38" customFormat="1" x14ac:dyDescent="0.3">
      <c r="A27" s="12" t="s">
        <v>43</v>
      </c>
      <c r="B27" s="20" t="str">
        <f t="shared" si="2"/>
        <v>ruim</v>
      </c>
      <c r="C27" s="51">
        <v>14</v>
      </c>
      <c r="D27" s="20">
        <v>0</v>
      </c>
      <c r="E27" s="20">
        <v>0</v>
      </c>
      <c r="F27" s="20">
        <v>1</v>
      </c>
      <c r="G27" s="20">
        <v>0</v>
      </c>
      <c r="H27" s="20">
        <v>0</v>
      </c>
      <c r="I27" s="20">
        <v>1</v>
      </c>
      <c r="J27" s="20">
        <v>1</v>
      </c>
      <c r="K27" s="20">
        <v>1</v>
      </c>
      <c r="L27" s="20">
        <v>0</v>
      </c>
      <c r="M27" s="20">
        <v>1</v>
      </c>
      <c r="N27" s="20">
        <v>1</v>
      </c>
      <c r="O27" s="20">
        <v>0</v>
      </c>
      <c r="P27" s="2">
        <v>45</v>
      </c>
      <c r="Q27" s="2">
        <v>52</v>
      </c>
      <c r="R27" s="13">
        <v>1</v>
      </c>
      <c r="S27" s="13">
        <v>2</v>
      </c>
      <c r="T27" s="2">
        <v>96</v>
      </c>
      <c r="U27" s="2">
        <v>17</v>
      </c>
      <c r="V27" s="22">
        <v>39.476999999999997</v>
      </c>
      <c r="W27" s="22">
        <v>39.476700000000001</v>
      </c>
      <c r="X27" s="22">
        <v>19.504799999999999</v>
      </c>
      <c r="Y27" s="2">
        <v>0.90900000000000003</v>
      </c>
      <c r="Z27" s="37">
        <f t="shared" si="0"/>
        <v>909</v>
      </c>
      <c r="AA27" s="2">
        <v>5.8</v>
      </c>
      <c r="AB27" s="2">
        <v>104</v>
      </c>
      <c r="AC27" s="2">
        <v>12.1</v>
      </c>
      <c r="AD27" s="3">
        <f t="shared" si="3"/>
        <v>3.10716049382716</v>
      </c>
      <c r="AE27" s="32">
        <v>-7</v>
      </c>
      <c r="AF27" s="32">
        <v>30</v>
      </c>
      <c r="AG27" s="32">
        <v>16.72</v>
      </c>
      <c r="AH27" s="44">
        <v>0.55700000000000005</v>
      </c>
      <c r="AI27" s="46">
        <v>49</v>
      </c>
      <c r="AJ27" s="53">
        <v>549.6541782679875</v>
      </c>
      <c r="AK27" s="53">
        <v>67.89500000000001</v>
      </c>
      <c r="AL27" s="53">
        <v>721.5</v>
      </c>
    </row>
    <row r="28" spans="1:38" customFormat="1" x14ac:dyDescent="0.3">
      <c r="A28" s="12" t="s">
        <v>7</v>
      </c>
      <c r="B28" s="48"/>
      <c r="C28" s="51"/>
      <c r="D28" s="48">
        <v>1</v>
      </c>
      <c r="E28" s="48">
        <v>0</v>
      </c>
      <c r="F28" s="48">
        <v>0</v>
      </c>
      <c r="G28" s="48">
        <v>0</v>
      </c>
      <c r="H28" s="48">
        <v>0</v>
      </c>
      <c r="I28" s="48">
        <v>0</v>
      </c>
      <c r="J28" s="48">
        <v>1</v>
      </c>
      <c r="K28" s="48">
        <v>0</v>
      </c>
      <c r="L28" s="48">
        <v>0</v>
      </c>
      <c r="M28" s="48">
        <v>0</v>
      </c>
      <c r="N28" s="48">
        <v>0</v>
      </c>
      <c r="O28" s="48">
        <v>0</v>
      </c>
      <c r="P28" s="32"/>
      <c r="Q28" s="32"/>
      <c r="R28" s="13"/>
      <c r="S28" s="13"/>
      <c r="T28" s="14">
        <v>130</v>
      </c>
      <c r="U28" s="14">
        <v>22</v>
      </c>
      <c r="V28" s="15">
        <v>46.62</v>
      </c>
      <c r="W28" s="15">
        <v>36.536000000000001</v>
      </c>
      <c r="X28" s="16"/>
      <c r="Y28" s="14">
        <v>1.605</v>
      </c>
      <c r="Z28" s="37">
        <f t="shared" si="0"/>
        <v>1605</v>
      </c>
      <c r="AA28" s="14">
        <v>5.0999999999999996</v>
      </c>
      <c r="AB28" s="14">
        <v>105</v>
      </c>
      <c r="AC28" s="14">
        <v>21.8</v>
      </c>
      <c r="AD28" s="3">
        <f t="shared" si="3"/>
        <v>5.6518518518518519</v>
      </c>
      <c r="AE28" s="32"/>
      <c r="AF28" s="32">
        <v>32</v>
      </c>
      <c r="AG28" s="32">
        <v>19.611999999999998</v>
      </c>
      <c r="AH28" s="44">
        <v>0.61299999999999999</v>
      </c>
      <c r="AI28" s="46">
        <v>42.8</v>
      </c>
      <c r="AJ28" s="53">
        <v>877.09999999999968</v>
      </c>
      <c r="AK28" s="53">
        <v>63.66</v>
      </c>
      <c r="AL28" s="53">
        <v>594</v>
      </c>
    </row>
    <row r="29" spans="1:38" customFormat="1" x14ac:dyDescent="0.3">
      <c r="A29" s="12" t="s">
        <v>44</v>
      </c>
      <c r="B29" s="20"/>
      <c r="C29" s="51"/>
      <c r="D29" s="48">
        <v>0</v>
      </c>
      <c r="E29" s="20">
        <v>0</v>
      </c>
      <c r="F29" s="20">
        <v>1</v>
      </c>
      <c r="G29" s="20">
        <v>0</v>
      </c>
      <c r="H29" s="20">
        <v>0</v>
      </c>
      <c r="I29" s="20">
        <v>0</v>
      </c>
      <c r="J29" s="20">
        <v>1</v>
      </c>
      <c r="K29" s="20">
        <v>1</v>
      </c>
      <c r="L29" s="20">
        <v>0</v>
      </c>
      <c r="M29" s="20">
        <v>0</v>
      </c>
      <c r="N29" s="20">
        <v>1</v>
      </c>
      <c r="O29" s="20">
        <v>0</v>
      </c>
      <c r="P29" s="2">
        <v>58</v>
      </c>
      <c r="Q29" s="2">
        <v>68</v>
      </c>
      <c r="R29" s="13">
        <v>1</v>
      </c>
      <c r="S29" s="13">
        <v>3</v>
      </c>
      <c r="T29" s="14">
        <v>113.5</v>
      </c>
      <c r="U29" s="14">
        <v>14</v>
      </c>
      <c r="V29" s="15">
        <v>33.042000000000002</v>
      </c>
      <c r="W29" s="14">
        <v>43.470300000000002</v>
      </c>
      <c r="X29" s="15">
        <v>23.879000000000001</v>
      </c>
      <c r="Y29" s="14">
        <v>1.3420000000000001</v>
      </c>
      <c r="Z29" s="37">
        <f t="shared" si="0"/>
        <v>1342</v>
      </c>
      <c r="AA29" s="14">
        <v>5.0999999999999996</v>
      </c>
      <c r="AB29" s="14">
        <v>92</v>
      </c>
      <c r="AC29" s="14">
        <v>26</v>
      </c>
      <c r="AD29" s="3">
        <f t="shared" si="3"/>
        <v>5.9061728395061728</v>
      </c>
      <c r="AE29" s="32"/>
      <c r="AF29" s="32">
        <v>36.5</v>
      </c>
      <c r="AG29" s="32">
        <v>14.516999999999999</v>
      </c>
      <c r="AH29" s="44">
        <v>0.39800000000000002</v>
      </c>
      <c r="AI29" s="46">
        <v>56.8</v>
      </c>
      <c r="AJ29" s="53">
        <v>1321.55</v>
      </c>
      <c r="AK29" s="53">
        <v>76.319999999999993</v>
      </c>
      <c r="AL29" s="53">
        <v>553.5</v>
      </c>
    </row>
    <row r="30" spans="1:38" customFormat="1" x14ac:dyDescent="0.3">
      <c r="A30" s="12" t="s">
        <v>8</v>
      </c>
      <c r="B30" s="20" t="str">
        <f t="shared" ref="B30:B58" si="4">IF(C30&gt;5,"ruim","bom")</f>
        <v>ruim</v>
      </c>
      <c r="C30" s="51">
        <v>10</v>
      </c>
      <c r="D30" s="20">
        <v>0</v>
      </c>
      <c r="E30" s="20">
        <v>0</v>
      </c>
      <c r="F30" s="20">
        <v>1</v>
      </c>
      <c r="G30" s="20">
        <v>0</v>
      </c>
      <c r="H30" s="20">
        <v>0</v>
      </c>
      <c r="I30" s="20">
        <v>1</v>
      </c>
      <c r="J30" s="20">
        <v>1</v>
      </c>
      <c r="K30" s="20">
        <v>1</v>
      </c>
      <c r="L30" s="20">
        <v>0</v>
      </c>
      <c r="M30" s="20">
        <v>1</v>
      </c>
      <c r="N30" s="20">
        <v>1</v>
      </c>
      <c r="O30" s="20">
        <v>0</v>
      </c>
      <c r="P30" s="2">
        <v>51</v>
      </c>
      <c r="Q30" s="2">
        <v>63</v>
      </c>
      <c r="R30" s="13">
        <v>7</v>
      </c>
      <c r="S30" s="13">
        <v>4</v>
      </c>
      <c r="T30" s="17">
        <v>90.4</v>
      </c>
      <c r="U30" s="17">
        <v>17</v>
      </c>
      <c r="V30" s="18">
        <v>32.143999999999998</v>
      </c>
      <c r="W30" s="18">
        <v>28.192</v>
      </c>
      <c r="X30" s="18">
        <v>13.355</v>
      </c>
      <c r="Y30" s="17">
        <v>0.49299999999999999</v>
      </c>
      <c r="Z30" s="37">
        <f t="shared" si="0"/>
        <v>493</v>
      </c>
      <c r="AA30" s="19">
        <v>5.9</v>
      </c>
      <c r="AB30" s="19">
        <v>92</v>
      </c>
      <c r="AC30" s="19">
        <v>23.8</v>
      </c>
      <c r="AD30" s="3">
        <f t="shared" si="3"/>
        <v>5.4064197530864195</v>
      </c>
      <c r="AE30" s="32">
        <v>1.1000000000000001</v>
      </c>
      <c r="AF30" s="32">
        <v>31.7</v>
      </c>
      <c r="AG30" s="32">
        <v>12.750999999999999</v>
      </c>
      <c r="AH30" s="44">
        <v>0.40200000000000002</v>
      </c>
      <c r="AI30" s="46">
        <v>45.6</v>
      </c>
      <c r="AJ30" s="53">
        <v>779.95842767651243</v>
      </c>
      <c r="AK30" s="53">
        <v>352.06500000000011</v>
      </c>
      <c r="AL30" s="53">
        <v>677</v>
      </c>
    </row>
    <row r="31" spans="1:38" customFormat="1" x14ac:dyDescent="0.3">
      <c r="A31" s="12" t="s">
        <v>45</v>
      </c>
      <c r="B31" s="48" t="str">
        <f t="shared" si="4"/>
        <v>bom</v>
      </c>
      <c r="C31" s="51">
        <v>1</v>
      </c>
      <c r="D31" s="20">
        <v>0</v>
      </c>
      <c r="E31" s="48">
        <v>0</v>
      </c>
      <c r="F31" s="48">
        <v>1</v>
      </c>
      <c r="G31" s="48">
        <v>0</v>
      </c>
      <c r="H31" s="48">
        <v>0</v>
      </c>
      <c r="I31" s="48">
        <v>0</v>
      </c>
      <c r="J31" s="48">
        <v>0</v>
      </c>
      <c r="K31" s="48">
        <v>1</v>
      </c>
      <c r="L31" s="48">
        <v>0</v>
      </c>
      <c r="M31" s="48">
        <v>0</v>
      </c>
      <c r="N31" s="48">
        <v>0</v>
      </c>
      <c r="O31" s="48">
        <v>0</v>
      </c>
      <c r="P31" s="2">
        <v>33</v>
      </c>
      <c r="Q31" s="2">
        <v>43</v>
      </c>
      <c r="R31" s="13">
        <v>13</v>
      </c>
      <c r="S31" s="13">
        <v>8</v>
      </c>
      <c r="T31" s="2">
        <v>120</v>
      </c>
      <c r="U31" s="2">
        <v>18</v>
      </c>
      <c r="V31" s="22">
        <v>54.589599999999997</v>
      </c>
      <c r="W31" s="22">
        <v>56.482300000000002</v>
      </c>
      <c r="X31" s="22">
        <v>21.610299999999999</v>
      </c>
      <c r="Y31" s="2">
        <v>1.0509999999999999</v>
      </c>
      <c r="Z31" s="37">
        <f t="shared" si="0"/>
        <v>1051</v>
      </c>
      <c r="AA31" s="2">
        <v>5.6</v>
      </c>
      <c r="AB31" s="2">
        <v>89</v>
      </c>
      <c r="AC31" s="2">
        <v>11</v>
      </c>
      <c r="AD31" s="3">
        <f t="shared" si="3"/>
        <v>2.4172839506172838</v>
      </c>
      <c r="AE31" s="32">
        <v>-6</v>
      </c>
      <c r="AF31" s="32">
        <v>44.92</v>
      </c>
      <c r="AG31" s="32">
        <v>26.126000000000001</v>
      </c>
      <c r="AH31" s="44">
        <v>0.58199999999999996</v>
      </c>
      <c r="AI31" s="46">
        <v>49.8</v>
      </c>
      <c r="AJ31" s="53">
        <v>221.70618289755151</v>
      </c>
      <c r="AK31" s="53">
        <v>35.400000000000013</v>
      </c>
      <c r="AL31" s="53">
        <v>431.5</v>
      </c>
    </row>
    <row r="32" spans="1:38" customFormat="1" x14ac:dyDescent="0.3">
      <c r="A32" s="12" t="s">
        <v>46</v>
      </c>
      <c r="B32" s="20" t="str">
        <f t="shared" si="4"/>
        <v>bom</v>
      </c>
      <c r="C32" s="51">
        <v>1</v>
      </c>
      <c r="D32" s="48">
        <v>0</v>
      </c>
      <c r="E32" s="20">
        <v>1</v>
      </c>
      <c r="F32" s="20">
        <v>1</v>
      </c>
      <c r="G32" s="20">
        <v>0</v>
      </c>
      <c r="H32" s="20">
        <v>0</v>
      </c>
      <c r="I32" s="20">
        <v>1</v>
      </c>
      <c r="J32" s="20">
        <v>1</v>
      </c>
      <c r="K32" s="20">
        <v>1</v>
      </c>
      <c r="L32" s="20">
        <v>1</v>
      </c>
      <c r="M32" s="20">
        <v>1</v>
      </c>
      <c r="N32" s="20">
        <v>0</v>
      </c>
      <c r="O32" s="20">
        <v>0</v>
      </c>
      <c r="P32" s="2">
        <v>44</v>
      </c>
      <c r="Q32" s="2">
        <v>76</v>
      </c>
      <c r="R32" s="13">
        <v>5</v>
      </c>
      <c r="S32" s="13">
        <v>2</v>
      </c>
      <c r="T32" s="20">
        <v>118.5</v>
      </c>
      <c r="U32" s="17">
        <v>19</v>
      </c>
      <c r="V32" s="21">
        <v>36.661999999999999</v>
      </c>
      <c r="W32" s="21">
        <v>42.230600000000003</v>
      </c>
      <c r="X32" s="21">
        <v>26.627600000000001</v>
      </c>
      <c r="Y32" s="20">
        <v>1.895</v>
      </c>
      <c r="Z32" s="37">
        <f t="shared" si="0"/>
        <v>1895</v>
      </c>
      <c r="AA32" s="2">
        <v>6.5</v>
      </c>
      <c r="AB32" s="2">
        <v>119</v>
      </c>
      <c r="AC32" s="2">
        <v>25.4</v>
      </c>
      <c r="AD32" s="3">
        <f t="shared" si="3"/>
        <v>7.4632098765432096</v>
      </c>
      <c r="AE32" s="32">
        <v>-6.8</v>
      </c>
      <c r="AF32" s="32">
        <v>37.1</v>
      </c>
      <c r="AG32" s="32">
        <v>13.878</v>
      </c>
      <c r="AH32" s="44">
        <v>0.21299999999999999</v>
      </c>
      <c r="AI32" s="46">
        <v>52.3</v>
      </c>
      <c r="AJ32" s="53">
        <v>482.30844710882911</v>
      </c>
      <c r="AK32" s="53">
        <v>50.660529368778043</v>
      </c>
      <c r="AL32" s="53">
        <v>879.5</v>
      </c>
    </row>
    <row r="33" spans="1:38" customFormat="1" x14ac:dyDescent="0.3">
      <c r="A33" s="12" t="s">
        <v>80</v>
      </c>
      <c r="B33" s="20" t="str">
        <f t="shared" si="4"/>
        <v>bom</v>
      </c>
      <c r="C33" s="51">
        <v>3</v>
      </c>
      <c r="D33" s="20">
        <v>0</v>
      </c>
      <c r="E33" s="20">
        <v>0</v>
      </c>
      <c r="F33" s="20">
        <v>1</v>
      </c>
      <c r="G33" s="20">
        <v>0</v>
      </c>
      <c r="H33" s="20">
        <v>0</v>
      </c>
      <c r="I33" s="20">
        <v>1</v>
      </c>
      <c r="J33" s="20">
        <v>1</v>
      </c>
      <c r="K33" s="20">
        <v>1</v>
      </c>
      <c r="L33" s="20">
        <v>0</v>
      </c>
      <c r="M33" s="20">
        <v>1</v>
      </c>
      <c r="N33" s="20">
        <v>0</v>
      </c>
      <c r="O33" s="20">
        <v>0</v>
      </c>
      <c r="P33" s="2">
        <v>81</v>
      </c>
      <c r="Q33" s="2">
        <v>61</v>
      </c>
      <c r="R33" s="13">
        <v>2</v>
      </c>
      <c r="S33" s="13">
        <v>4</v>
      </c>
      <c r="T33" s="2">
        <v>114.2</v>
      </c>
      <c r="U33" s="2">
        <v>19</v>
      </c>
      <c r="V33" s="22">
        <v>37.780999999999999</v>
      </c>
      <c r="W33" s="22">
        <v>39.68</v>
      </c>
      <c r="X33" s="22">
        <v>19.323</v>
      </c>
      <c r="Y33" s="2">
        <v>1.1879999999999999</v>
      </c>
      <c r="Z33" s="37">
        <f t="shared" si="0"/>
        <v>1188</v>
      </c>
      <c r="AA33" s="2">
        <v>5.7</v>
      </c>
      <c r="AB33" s="2">
        <v>90</v>
      </c>
      <c r="AC33" s="2">
        <v>16</v>
      </c>
      <c r="AD33" s="3">
        <f t="shared" si="3"/>
        <v>3.5555555555555554</v>
      </c>
      <c r="AE33" s="32">
        <v>0.5</v>
      </c>
      <c r="AF33" s="32">
        <v>36.25</v>
      </c>
      <c r="AG33" s="32">
        <v>16.044</v>
      </c>
      <c r="AH33" s="44">
        <v>0.443</v>
      </c>
      <c r="AI33" s="46">
        <v>50.1</v>
      </c>
      <c r="AJ33" s="53">
        <v>273.89621293531638</v>
      </c>
      <c r="AK33" s="53">
        <v>39.119999999999997</v>
      </c>
      <c r="AL33" s="53">
        <v>546.5</v>
      </c>
    </row>
    <row r="34" spans="1:38" customFormat="1" x14ac:dyDescent="0.3">
      <c r="A34" s="12" t="s">
        <v>47</v>
      </c>
      <c r="B34" s="48" t="str">
        <f t="shared" si="4"/>
        <v>ruim</v>
      </c>
      <c r="C34" s="51">
        <v>7</v>
      </c>
      <c r="D34" s="20">
        <v>0</v>
      </c>
      <c r="E34" s="48">
        <v>1</v>
      </c>
      <c r="F34" s="48">
        <v>1</v>
      </c>
      <c r="G34" s="48">
        <v>0</v>
      </c>
      <c r="H34" s="48">
        <v>0</v>
      </c>
      <c r="I34" s="48">
        <v>1</v>
      </c>
      <c r="J34" s="48">
        <v>1</v>
      </c>
      <c r="K34" s="48">
        <v>1</v>
      </c>
      <c r="L34" s="48">
        <v>1</v>
      </c>
      <c r="M34" s="48">
        <v>1</v>
      </c>
      <c r="N34" s="48">
        <v>1</v>
      </c>
      <c r="O34" s="48">
        <v>0</v>
      </c>
      <c r="P34" s="32"/>
      <c r="Q34" s="32"/>
      <c r="R34" s="13">
        <v>13</v>
      </c>
      <c r="S34" s="13">
        <v>7</v>
      </c>
      <c r="T34" s="2">
        <v>118.5</v>
      </c>
      <c r="U34" s="2">
        <v>17</v>
      </c>
      <c r="V34" s="22">
        <v>37.034799999999997</v>
      </c>
      <c r="W34" s="22">
        <v>46.462000000000003</v>
      </c>
      <c r="X34" s="22">
        <v>22.282</v>
      </c>
      <c r="Y34" s="2">
        <v>1.2649999999999999</v>
      </c>
      <c r="Z34" s="37">
        <f t="shared" ref="Z34:Z66" si="5">Y34*1000</f>
        <v>1265</v>
      </c>
      <c r="AA34" s="2">
        <v>7.7</v>
      </c>
      <c r="AB34" s="2">
        <v>112</v>
      </c>
      <c r="AC34" s="2">
        <v>5</v>
      </c>
      <c r="AD34" s="3">
        <f t="shared" si="3"/>
        <v>1.382716049382716</v>
      </c>
      <c r="AE34" s="32">
        <v>-7.7</v>
      </c>
      <c r="AF34" s="32">
        <v>36.9</v>
      </c>
      <c r="AG34" s="32">
        <v>14.558999999999999</v>
      </c>
      <c r="AH34" s="44">
        <v>0.39500000000000002</v>
      </c>
      <c r="AI34" s="46">
        <v>54.6</v>
      </c>
      <c r="AJ34" s="49"/>
      <c r="AK34" s="49"/>
      <c r="AL34" s="49"/>
    </row>
    <row r="35" spans="1:38" customFormat="1" x14ac:dyDescent="0.3">
      <c r="A35" s="12" t="s">
        <v>48</v>
      </c>
      <c r="B35" s="20" t="str">
        <f t="shared" si="4"/>
        <v>ruim</v>
      </c>
      <c r="C35" s="51">
        <v>7</v>
      </c>
      <c r="D35" s="48">
        <v>0</v>
      </c>
      <c r="E35" s="20">
        <v>0</v>
      </c>
      <c r="F35" s="20">
        <v>1</v>
      </c>
      <c r="G35" s="20">
        <v>0</v>
      </c>
      <c r="H35" s="20">
        <v>0</v>
      </c>
      <c r="I35" s="20">
        <v>0</v>
      </c>
      <c r="J35" s="20">
        <v>0</v>
      </c>
      <c r="K35" s="20">
        <v>1</v>
      </c>
      <c r="L35" s="20">
        <v>0</v>
      </c>
      <c r="M35" s="20">
        <v>0</v>
      </c>
      <c r="N35" s="20">
        <v>0</v>
      </c>
      <c r="O35" s="20">
        <v>0</v>
      </c>
      <c r="P35" s="2">
        <v>58</v>
      </c>
      <c r="Q35" s="2">
        <v>29</v>
      </c>
      <c r="R35" s="13">
        <v>10</v>
      </c>
      <c r="S35" s="13">
        <v>4</v>
      </c>
      <c r="T35" s="14">
        <v>98</v>
      </c>
      <c r="U35" s="14">
        <v>20</v>
      </c>
      <c r="V35" s="15">
        <v>30.314</v>
      </c>
      <c r="W35" s="15">
        <v>38.792499999999997</v>
      </c>
      <c r="X35" s="15">
        <v>23.0334</v>
      </c>
      <c r="Y35" s="14">
        <v>1.268</v>
      </c>
      <c r="Z35" s="37">
        <f t="shared" si="5"/>
        <v>1268</v>
      </c>
      <c r="AA35" s="14">
        <v>5.6</v>
      </c>
      <c r="AB35" s="14">
        <v>87</v>
      </c>
      <c r="AC35" s="14">
        <v>9</v>
      </c>
      <c r="AD35" s="3">
        <f t="shared" si="3"/>
        <v>1.9333333333333333</v>
      </c>
      <c r="AE35" s="32"/>
      <c r="AF35" s="32">
        <v>36.46</v>
      </c>
      <c r="AG35" s="32">
        <v>12.087</v>
      </c>
      <c r="AH35" s="44">
        <v>0.33200000000000002</v>
      </c>
      <c r="AI35" s="46">
        <v>54.8</v>
      </c>
      <c r="AJ35" s="53">
        <v>365.33714467004307</v>
      </c>
      <c r="AK35" s="53">
        <v>43.614221411298708</v>
      </c>
      <c r="AL35" s="53">
        <v>490.35483430171968</v>
      </c>
    </row>
    <row r="36" spans="1:38" customFormat="1" x14ac:dyDescent="0.3">
      <c r="A36" s="12" t="s">
        <v>81</v>
      </c>
      <c r="B36" s="20" t="str">
        <f t="shared" si="4"/>
        <v>bom</v>
      </c>
      <c r="C36" s="51">
        <v>5</v>
      </c>
      <c r="D36" s="48">
        <v>0</v>
      </c>
      <c r="E36" s="20">
        <v>0</v>
      </c>
      <c r="F36" s="20">
        <v>0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>
        <v>1</v>
      </c>
      <c r="O36" s="20">
        <v>0</v>
      </c>
      <c r="P36" s="2">
        <v>82</v>
      </c>
      <c r="Q36" s="2">
        <v>78</v>
      </c>
      <c r="R36" s="13">
        <v>3</v>
      </c>
      <c r="S36" s="13">
        <v>2</v>
      </c>
      <c r="T36" s="14">
        <v>101</v>
      </c>
      <c r="U36" s="29">
        <v>17</v>
      </c>
      <c r="V36" s="15">
        <v>36.563000000000002</v>
      </c>
      <c r="W36" s="15">
        <v>41.131</v>
      </c>
      <c r="X36" s="15">
        <v>20.428000000000001</v>
      </c>
      <c r="Y36" s="14">
        <v>1</v>
      </c>
      <c r="Z36" s="37">
        <f t="shared" si="5"/>
        <v>1000</v>
      </c>
      <c r="AA36" s="14">
        <v>5.0999999999999996</v>
      </c>
      <c r="AB36" s="14">
        <v>89</v>
      </c>
      <c r="AC36" s="14">
        <v>16.8</v>
      </c>
      <c r="AD36" s="3">
        <f t="shared" si="3"/>
        <v>3.6918518518518519</v>
      </c>
      <c r="AE36" s="32">
        <v>-2.8</v>
      </c>
      <c r="AF36" s="32">
        <v>31.5</v>
      </c>
      <c r="AG36" s="32">
        <v>15.153</v>
      </c>
      <c r="AH36" s="44">
        <v>0.48099999999999998</v>
      </c>
      <c r="AI36" s="46">
        <v>51.5</v>
      </c>
      <c r="AJ36" s="53">
        <v>463.38944295640431</v>
      </c>
      <c r="AK36" s="53">
        <v>49.274999999999991</v>
      </c>
      <c r="AL36" s="53">
        <v>499.5</v>
      </c>
    </row>
    <row r="37" spans="1:38" customFormat="1" x14ac:dyDescent="0.3">
      <c r="A37" s="12" t="s">
        <v>9</v>
      </c>
      <c r="B37" s="48" t="str">
        <f t="shared" si="4"/>
        <v>ruim</v>
      </c>
      <c r="C37" s="51">
        <v>8</v>
      </c>
      <c r="D37" s="20">
        <v>0</v>
      </c>
      <c r="E37" s="48">
        <v>0</v>
      </c>
      <c r="F37" s="48">
        <v>1</v>
      </c>
      <c r="G37" s="48">
        <v>1</v>
      </c>
      <c r="H37" s="48">
        <v>0</v>
      </c>
      <c r="I37" s="48">
        <v>1</v>
      </c>
      <c r="J37" s="48">
        <v>0</v>
      </c>
      <c r="K37" s="48">
        <v>1</v>
      </c>
      <c r="L37" s="48">
        <v>0</v>
      </c>
      <c r="M37" s="48">
        <v>1</v>
      </c>
      <c r="N37" s="48">
        <v>1</v>
      </c>
      <c r="O37" s="48">
        <v>1</v>
      </c>
      <c r="P37" s="2">
        <v>74</v>
      </c>
      <c r="Q37" s="2">
        <v>77</v>
      </c>
      <c r="R37" s="13">
        <v>0</v>
      </c>
      <c r="S37" s="13">
        <v>2</v>
      </c>
      <c r="T37" s="20">
        <v>116.4</v>
      </c>
      <c r="U37" s="17">
        <v>21</v>
      </c>
      <c r="V37" s="21">
        <v>41.55</v>
      </c>
      <c r="W37" s="21">
        <v>49.880200000000002</v>
      </c>
      <c r="X37" s="21">
        <v>26.045200000000001</v>
      </c>
      <c r="Y37" s="20">
        <v>0.76800000000000002</v>
      </c>
      <c r="Z37" s="37">
        <f t="shared" si="5"/>
        <v>768</v>
      </c>
      <c r="AA37" s="2">
        <v>6.6</v>
      </c>
      <c r="AB37" s="2">
        <v>103</v>
      </c>
      <c r="AC37" s="2">
        <v>21.2</v>
      </c>
      <c r="AD37" s="3">
        <f t="shared" si="3"/>
        <v>5.3916049382716045</v>
      </c>
      <c r="AE37" s="32">
        <v>-0.9</v>
      </c>
      <c r="AF37" s="32">
        <v>35.9</v>
      </c>
      <c r="AG37" s="32">
        <v>16.385999999999999</v>
      </c>
      <c r="AH37" s="44">
        <v>0.45600000000000002</v>
      </c>
      <c r="AI37" s="46">
        <v>53.4</v>
      </c>
      <c r="AJ37" s="53">
        <v>269.65034041692547</v>
      </c>
      <c r="AK37" s="53">
        <v>45.248266370302247</v>
      </c>
      <c r="AL37" s="53">
        <v>841.5</v>
      </c>
    </row>
    <row r="38" spans="1:38" customFormat="1" x14ac:dyDescent="0.3">
      <c r="A38" s="12" t="s">
        <v>82</v>
      </c>
      <c r="B38" s="20" t="str">
        <f t="shared" si="4"/>
        <v>ruim</v>
      </c>
      <c r="C38" s="51">
        <v>9</v>
      </c>
      <c r="D38" s="20">
        <v>0</v>
      </c>
      <c r="E38" s="20">
        <v>1</v>
      </c>
      <c r="F38" s="20">
        <v>1</v>
      </c>
      <c r="G38" s="20">
        <v>1</v>
      </c>
      <c r="H38" s="20">
        <v>0</v>
      </c>
      <c r="I38" s="20">
        <v>0</v>
      </c>
      <c r="J38" s="20">
        <v>1</v>
      </c>
      <c r="K38" s="20">
        <v>1</v>
      </c>
      <c r="L38" s="20">
        <v>1</v>
      </c>
      <c r="M38" s="20">
        <v>0</v>
      </c>
      <c r="N38" s="20">
        <v>0</v>
      </c>
      <c r="O38" s="20">
        <v>1</v>
      </c>
      <c r="P38" s="2">
        <v>34</v>
      </c>
      <c r="Q38" s="2">
        <v>63</v>
      </c>
      <c r="R38" s="13">
        <v>9</v>
      </c>
      <c r="S38" s="13">
        <v>3</v>
      </c>
      <c r="T38" s="2">
        <v>98</v>
      </c>
      <c r="U38" s="2">
        <v>16</v>
      </c>
      <c r="V38" s="22">
        <v>35.827500000000001</v>
      </c>
      <c r="W38" s="22">
        <v>33.204000000000001</v>
      </c>
      <c r="X38" s="22">
        <v>16.404</v>
      </c>
      <c r="Y38" s="2">
        <v>0.99199999999999999</v>
      </c>
      <c r="Z38" s="37">
        <f t="shared" si="5"/>
        <v>992</v>
      </c>
      <c r="AA38" s="2">
        <v>6.6</v>
      </c>
      <c r="AB38" s="2">
        <v>118</v>
      </c>
      <c r="AC38" s="4"/>
      <c r="AD38" s="3"/>
      <c r="AE38" s="32">
        <v>-0.7</v>
      </c>
      <c r="AF38" s="32">
        <v>31</v>
      </c>
      <c r="AG38" s="32">
        <v>15.425000000000001</v>
      </c>
      <c r="AH38" s="44">
        <v>0.498</v>
      </c>
      <c r="AI38" s="46">
        <v>46.5</v>
      </c>
      <c r="AJ38" s="53">
        <v>333.64310805957058</v>
      </c>
      <c r="AK38" s="53">
        <v>36.732662998702878</v>
      </c>
      <c r="AL38" s="53">
        <v>658.78824466812466</v>
      </c>
    </row>
    <row r="39" spans="1:38" customFormat="1" x14ac:dyDescent="0.3">
      <c r="A39" s="12" t="s">
        <v>49</v>
      </c>
      <c r="B39" s="20" t="str">
        <f t="shared" si="4"/>
        <v>ruim</v>
      </c>
      <c r="C39" s="51">
        <v>8</v>
      </c>
      <c r="D39" s="48">
        <v>0</v>
      </c>
      <c r="E39" s="20">
        <v>0</v>
      </c>
      <c r="F39" s="20">
        <v>0</v>
      </c>
      <c r="G39" s="20">
        <v>0</v>
      </c>
      <c r="H39" s="20">
        <v>0</v>
      </c>
      <c r="I39" s="20">
        <v>0</v>
      </c>
      <c r="J39" s="20">
        <v>1</v>
      </c>
      <c r="K39" s="20">
        <v>0</v>
      </c>
      <c r="L39" s="20">
        <v>0</v>
      </c>
      <c r="M39" s="20">
        <v>0</v>
      </c>
      <c r="N39" s="20">
        <v>0</v>
      </c>
      <c r="O39" s="20">
        <v>0</v>
      </c>
      <c r="P39" s="2">
        <v>24</v>
      </c>
      <c r="Q39" s="2">
        <v>28</v>
      </c>
      <c r="R39" s="13">
        <v>19</v>
      </c>
      <c r="S39" s="13">
        <v>3</v>
      </c>
      <c r="T39" s="2">
        <v>108</v>
      </c>
      <c r="U39" s="2">
        <v>16</v>
      </c>
      <c r="V39" s="22">
        <v>34.603099999999998</v>
      </c>
      <c r="W39" s="22">
        <v>35.779200000000003</v>
      </c>
      <c r="X39" s="22">
        <v>19.658100000000001</v>
      </c>
      <c r="Y39" s="2">
        <v>1.113</v>
      </c>
      <c r="Z39" s="37">
        <f t="shared" si="5"/>
        <v>1113</v>
      </c>
      <c r="AA39" s="2">
        <v>5.5</v>
      </c>
      <c r="AB39" s="2">
        <v>91</v>
      </c>
      <c r="AC39" s="2">
        <v>8</v>
      </c>
      <c r="AD39" s="3">
        <f>AB39*AC39/405</f>
        <v>1.7975308641975309</v>
      </c>
      <c r="AE39" s="32">
        <v>-2.5</v>
      </c>
      <c r="AF39" s="32">
        <v>30.04</v>
      </c>
      <c r="AG39" s="32">
        <v>13.79</v>
      </c>
      <c r="AH39" s="44">
        <v>0.45900000000000002</v>
      </c>
      <c r="AI39" s="46">
        <v>49.6</v>
      </c>
      <c r="AJ39" s="53">
        <v>327.5</v>
      </c>
      <c r="AK39" s="53">
        <v>42.225000000000009</v>
      </c>
      <c r="AL39" s="53">
        <v>455</v>
      </c>
    </row>
    <row r="40" spans="1:38" customFormat="1" x14ac:dyDescent="0.3">
      <c r="A40" s="12" t="s">
        <v>10</v>
      </c>
      <c r="B40" s="48" t="str">
        <f t="shared" si="4"/>
        <v>bom</v>
      </c>
      <c r="C40" s="51">
        <v>5</v>
      </c>
      <c r="D40" s="20">
        <v>0</v>
      </c>
      <c r="E40" s="48">
        <v>0</v>
      </c>
      <c r="F40" s="48">
        <v>1</v>
      </c>
      <c r="G40" s="48">
        <v>0</v>
      </c>
      <c r="H40" s="48">
        <v>0</v>
      </c>
      <c r="I40" s="48">
        <v>0</v>
      </c>
      <c r="J40" s="48">
        <v>1</v>
      </c>
      <c r="K40" s="48">
        <v>1</v>
      </c>
      <c r="L40" s="48">
        <v>0</v>
      </c>
      <c r="M40" s="48">
        <v>0</v>
      </c>
      <c r="N40" s="48">
        <v>0</v>
      </c>
      <c r="O40" s="48">
        <v>0</v>
      </c>
      <c r="P40" s="2">
        <v>49</v>
      </c>
      <c r="Q40" s="2">
        <v>92</v>
      </c>
      <c r="R40" s="13">
        <v>2</v>
      </c>
      <c r="S40" s="13">
        <v>1</v>
      </c>
      <c r="T40" s="2">
        <v>101</v>
      </c>
      <c r="U40" s="3">
        <v>13</v>
      </c>
      <c r="V40" s="22">
        <v>40.486600000000003</v>
      </c>
      <c r="W40" s="22">
        <v>44.326999999999998</v>
      </c>
      <c r="X40" s="22">
        <v>21.713000000000001</v>
      </c>
      <c r="Y40" s="2">
        <v>0.75800000000000001</v>
      </c>
      <c r="Z40" s="37">
        <f t="shared" si="5"/>
        <v>758</v>
      </c>
      <c r="AA40" s="2">
        <v>5.6</v>
      </c>
      <c r="AB40" s="2">
        <v>79</v>
      </c>
      <c r="AC40" s="2" t="s">
        <v>105</v>
      </c>
      <c r="AD40" s="3"/>
      <c r="AE40" s="32">
        <v>0.4</v>
      </c>
      <c r="AF40" s="32">
        <v>32.1</v>
      </c>
      <c r="AG40" s="32">
        <v>16.167999999999999</v>
      </c>
      <c r="AH40" s="44">
        <v>0.504</v>
      </c>
      <c r="AI40" s="46">
        <v>51.1</v>
      </c>
      <c r="AJ40" s="53">
        <v>129.20582582738641</v>
      </c>
      <c r="AK40" s="53">
        <v>22.41</v>
      </c>
      <c r="AL40" s="53">
        <v>509.5</v>
      </c>
    </row>
    <row r="41" spans="1:38" customFormat="1" x14ac:dyDescent="0.3">
      <c r="A41" s="12" t="s">
        <v>83</v>
      </c>
      <c r="B41" s="20" t="str">
        <f t="shared" si="4"/>
        <v>ruim</v>
      </c>
      <c r="C41" s="51">
        <v>11</v>
      </c>
      <c r="D41" s="20">
        <v>1</v>
      </c>
      <c r="E41" s="20">
        <v>0</v>
      </c>
      <c r="F41" s="20">
        <v>1</v>
      </c>
      <c r="G41" s="20">
        <v>0</v>
      </c>
      <c r="H41" s="20">
        <v>0</v>
      </c>
      <c r="I41" s="20">
        <v>1</v>
      </c>
      <c r="J41" s="20">
        <v>1</v>
      </c>
      <c r="K41" s="20">
        <v>1</v>
      </c>
      <c r="L41" s="20">
        <v>0</v>
      </c>
      <c r="M41" s="20">
        <v>1</v>
      </c>
      <c r="N41" s="20">
        <v>0</v>
      </c>
      <c r="O41" s="20">
        <v>0</v>
      </c>
      <c r="P41" s="2">
        <v>36</v>
      </c>
      <c r="Q41" s="2">
        <v>63</v>
      </c>
      <c r="R41" s="13">
        <v>7</v>
      </c>
      <c r="S41" s="13">
        <v>7</v>
      </c>
      <c r="T41" s="2">
        <v>107.3</v>
      </c>
      <c r="U41" s="2">
        <v>26</v>
      </c>
      <c r="V41" s="22">
        <v>50.779000000000003</v>
      </c>
      <c r="W41" s="22">
        <v>35.135399999999997</v>
      </c>
      <c r="X41" s="22">
        <v>20.228999999999999</v>
      </c>
      <c r="Y41" s="2">
        <v>1.423</v>
      </c>
      <c r="Z41" s="37">
        <f t="shared" si="5"/>
        <v>1423</v>
      </c>
      <c r="AA41" s="2">
        <v>5.3</v>
      </c>
      <c r="AB41" s="2">
        <v>94</v>
      </c>
      <c r="AC41" s="2">
        <v>12.7</v>
      </c>
      <c r="AD41" s="3">
        <f>AB41*AC41/405</f>
        <v>2.9476543209876542</v>
      </c>
      <c r="AE41" s="32">
        <v>-4.0999999999999996</v>
      </c>
      <c r="AF41" s="32">
        <v>31.1</v>
      </c>
      <c r="AG41" s="32">
        <v>22.407</v>
      </c>
      <c r="AH41" s="44">
        <v>0.72</v>
      </c>
      <c r="AI41" s="46">
        <v>39.6</v>
      </c>
      <c r="AJ41" s="53">
        <v>614.45000000000005</v>
      </c>
      <c r="AK41" s="53">
        <v>56.340000000000032</v>
      </c>
      <c r="AL41" s="53">
        <v>621</v>
      </c>
    </row>
    <row r="42" spans="1:38" customFormat="1" x14ac:dyDescent="0.3">
      <c r="A42" s="12" t="s">
        <v>50</v>
      </c>
      <c r="B42" s="20" t="str">
        <f t="shared" si="4"/>
        <v>bom</v>
      </c>
      <c r="C42" s="51">
        <v>5</v>
      </c>
      <c r="D42" s="48">
        <v>1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">
        <v>81</v>
      </c>
      <c r="Q42" s="2">
        <v>62</v>
      </c>
      <c r="R42" s="13">
        <v>9</v>
      </c>
      <c r="S42" s="13">
        <v>3</v>
      </c>
      <c r="T42" s="2">
        <v>111.2</v>
      </c>
      <c r="U42" s="2">
        <v>26</v>
      </c>
      <c r="V42" s="22">
        <v>52.01</v>
      </c>
      <c r="W42" s="22">
        <v>28.785</v>
      </c>
      <c r="X42" s="22">
        <v>16.608000000000001</v>
      </c>
      <c r="Y42" s="2">
        <v>1.0980000000000001</v>
      </c>
      <c r="Z42" s="37">
        <f t="shared" si="5"/>
        <v>1098</v>
      </c>
      <c r="AA42" s="2">
        <v>5.6</v>
      </c>
      <c r="AB42" s="2">
        <v>106</v>
      </c>
      <c r="AC42" s="2">
        <v>9</v>
      </c>
      <c r="AD42" s="3">
        <f>AB42*AC42/405</f>
        <v>2.3555555555555556</v>
      </c>
      <c r="AE42" s="32">
        <v>-9.8000000000000007</v>
      </c>
      <c r="AF42" s="32">
        <v>30.2</v>
      </c>
      <c r="AG42" s="32">
        <v>22.436</v>
      </c>
      <c r="AH42" s="44">
        <v>0.74299999999999999</v>
      </c>
      <c r="AI42" s="46">
        <v>34.299999999999997</v>
      </c>
      <c r="AJ42" s="53">
        <v>166.26033850515941</v>
      </c>
      <c r="AK42" s="53">
        <v>27.31</v>
      </c>
      <c r="AL42" s="53">
        <v>635</v>
      </c>
    </row>
    <row r="43" spans="1:38" customFormat="1" x14ac:dyDescent="0.3">
      <c r="A43" s="12" t="s">
        <v>11</v>
      </c>
      <c r="B43" s="48" t="str">
        <f t="shared" si="4"/>
        <v>ruim</v>
      </c>
      <c r="C43" s="51">
        <v>10</v>
      </c>
      <c r="D43" s="48">
        <v>1</v>
      </c>
      <c r="E43" s="48">
        <v>0</v>
      </c>
      <c r="F43" s="48">
        <v>0</v>
      </c>
      <c r="G43" s="48">
        <v>0</v>
      </c>
      <c r="H43" s="48">
        <v>0</v>
      </c>
      <c r="I43" s="48">
        <v>0</v>
      </c>
      <c r="J43" s="48">
        <v>0</v>
      </c>
      <c r="K43" s="48">
        <v>0</v>
      </c>
      <c r="L43" s="48">
        <v>0</v>
      </c>
      <c r="M43" s="48">
        <v>0</v>
      </c>
      <c r="N43" s="48">
        <v>0</v>
      </c>
      <c r="O43" s="48">
        <v>0</v>
      </c>
      <c r="P43" s="2">
        <v>58</v>
      </c>
      <c r="Q43" s="2">
        <v>51</v>
      </c>
      <c r="R43" s="13">
        <v>2</v>
      </c>
      <c r="S43" s="13">
        <v>2</v>
      </c>
      <c r="T43" s="20">
        <v>110.5</v>
      </c>
      <c r="U43" s="17">
        <v>31</v>
      </c>
      <c r="V43" s="21">
        <v>50.002000000000002</v>
      </c>
      <c r="W43" s="21">
        <v>35.610999999999997</v>
      </c>
      <c r="X43" s="21">
        <v>19.152000000000001</v>
      </c>
      <c r="Y43" s="20">
        <v>1.464</v>
      </c>
      <c r="Z43" s="37">
        <f t="shared" si="5"/>
        <v>1464</v>
      </c>
      <c r="AA43" s="2">
        <v>5.7</v>
      </c>
      <c r="AB43" s="2">
        <v>104</v>
      </c>
      <c r="AC43" s="2">
        <v>14.6</v>
      </c>
      <c r="AD43" s="3">
        <f>AB43*AC43/405</f>
        <v>3.7491358024691355</v>
      </c>
      <c r="AE43" s="32">
        <v>-0.5</v>
      </c>
      <c r="AF43" s="32">
        <v>32.4</v>
      </c>
      <c r="AG43" s="32">
        <v>23.081</v>
      </c>
      <c r="AH43" s="44">
        <v>0.71199999999999997</v>
      </c>
      <c r="AI43" s="46">
        <v>40.200000000000003</v>
      </c>
      <c r="AJ43" s="53">
        <v>361.2</v>
      </c>
      <c r="AK43" s="53">
        <v>37.069999999999993</v>
      </c>
      <c r="AL43" s="53">
        <v>764</v>
      </c>
    </row>
    <row r="44" spans="1:38" customFormat="1" x14ac:dyDescent="0.3">
      <c r="A44" s="12" t="s">
        <v>12</v>
      </c>
      <c r="B44" s="20" t="str">
        <f t="shared" si="4"/>
        <v>ruim</v>
      </c>
      <c r="C44" s="51">
        <v>6</v>
      </c>
      <c r="D44" s="20">
        <v>0</v>
      </c>
      <c r="E44" s="20">
        <v>0</v>
      </c>
      <c r="F44" s="20">
        <v>0</v>
      </c>
      <c r="G44" s="20">
        <v>0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1</v>
      </c>
      <c r="N44" s="20">
        <v>1</v>
      </c>
      <c r="O44" s="20">
        <v>0</v>
      </c>
      <c r="P44" s="2">
        <v>77</v>
      </c>
      <c r="Q44" s="2">
        <v>51</v>
      </c>
      <c r="R44" s="13">
        <v>7</v>
      </c>
      <c r="S44" s="13">
        <v>0</v>
      </c>
      <c r="T44" s="2">
        <v>117.5</v>
      </c>
      <c r="U44" s="2">
        <v>22</v>
      </c>
      <c r="V44" s="22">
        <v>37.83</v>
      </c>
      <c r="W44" s="22">
        <v>44.978099999999998</v>
      </c>
      <c r="X44" s="22">
        <v>23.388300000000001</v>
      </c>
      <c r="Y44" s="2">
        <v>1.079</v>
      </c>
      <c r="Z44" s="37">
        <f t="shared" si="5"/>
        <v>1079</v>
      </c>
      <c r="AA44" s="2">
        <v>5.7</v>
      </c>
      <c r="AB44" s="2">
        <v>108</v>
      </c>
      <c r="AC44" s="2">
        <v>9.4</v>
      </c>
      <c r="AD44" s="3">
        <f>AB44*AC44/405</f>
        <v>2.5066666666666668</v>
      </c>
      <c r="AE44" s="32">
        <v>0.2</v>
      </c>
      <c r="AF44" s="32">
        <v>41.6</v>
      </c>
      <c r="AG44" s="32">
        <v>16.291</v>
      </c>
      <c r="AH44" s="44">
        <v>0.39200000000000002</v>
      </c>
      <c r="AI44" s="46">
        <v>53.2</v>
      </c>
      <c r="AJ44" s="53">
        <v>456.24999999999989</v>
      </c>
      <c r="AK44" s="53">
        <v>47.344999999999999</v>
      </c>
      <c r="AL44" s="53">
        <v>597.5</v>
      </c>
    </row>
    <row r="45" spans="1:38" customFormat="1" x14ac:dyDescent="0.3">
      <c r="A45" s="12" t="s">
        <v>51</v>
      </c>
      <c r="B45" s="20" t="str">
        <f t="shared" si="4"/>
        <v>bom</v>
      </c>
      <c r="C45" s="51">
        <v>3</v>
      </c>
      <c r="D45" s="20">
        <v>0</v>
      </c>
      <c r="E45" s="20">
        <v>0</v>
      </c>
      <c r="F45" s="20">
        <v>1</v>
      </c>
      <c r="G45" s="20">
        <v>1</v>
      </c>
      <c r="H45" s="20">
        <v>0</v>
      </c>
      <c r="I45" s="20">
        <v>0</v>
      </c>
      <c r="J45" s="20">
        <v>1</v>
      </c>
      <c r="K45" s="20">
        <v>1</v>
      </c>
      <c r="L45" s="20">
        <v>0</v>
      </c>
      <c r="M45" s="20">
        <v>0</v>
      </c>
      <c r="N45" s="20">
        <v>0</v>
      </c>
      <c r="O45" s="20">
        <v>1</v>
      </c>
      <c r="P45" s="2">
        <v>66</v>
      </c>
      <c r="Q45" s="2">
        <v>56</v>
      </c>
      <c r="R45" s="13">
        <v>16</v>
      </c>
      <c r="S45" s="13">
        <v>3</v>
      </c>
      <c r="T45" s="17">
        <v>106.5</v>
      </c>
      <c r="U45" s="17">
        <v>20</v>
      </c>
      <c r="V45" s="18">
        <v>40.811</v>
      </c>
      <c r="W45" s="18">
        <v>34.8581</v>
      </c>
      <c r="X45" s="18">
        <v>16.512699999999999</v>
      </c>
      <c r="Y45" s="17">
        <v>0.749</v>
      </c>
      <c r="Z45" s="37">
        <f t="shared" si="5"/>
        <v>749</v>
      </c>
      <c r="AA45" s="19">
        <v>4.9000000000000004</v>
      </c>
      <c r="AB45" s="19">
        <v>77</v>
      </c>
      <c r="AC45" s="19">
        <v>9.5</v>
      </c>
      <c r="AD45" s="3">
        <f>AB45*AC45/405</f>
        <v>1.8061728395061729</v>
      </c>
      <c r="AE45" s="32">
        <v>-6.1</v>
      </c>
      <c r="AF45" s="32">
        <v>38</v>
      </c>
      <c r="AG45" s="32">
        <v>17.97</v>
      </c>
      <c r="AH45" s="44">
        <v>0.47299999999999998</v>
      </c>
      <c r="AI45" s="46">
        <v>45</v>
      </c>
      <c r="AJ45" s="53">
        <v>107.9606350411154</v>
      </c>
      <c r="AK45" s="53">
        <v>23.351508878792121</v>
      </c>
      <c r="AL45" s="53">
        <v>584</v>
      </c>
    </row>
    <row r="46" spans="1:38" customFormat="1" x14ac:dyDescent="0.3">
      <c r="A46" s="12" t="s">
        <v>52</v>
      </c>
      <c r="B46" s="48" t="str">
        <f t="shared" si="4"/>
        <v>bom</v>
      </c>
      <c r="C46" s="51">
        <v>3</v>
      </c>
      <c r="D46" s="48">
        <v>1</v>
      </c>
      <c r="E46" s="48">
        <v>0</v>
      </c>
      <c r="F46" s="48">
        <v>1</v>
      </c>
      <c r="G46" s="48">
        <v>0</v>
      </c>
      <c r="H46" s="48">
        <v>0</v>
      </c>
      <c r="I46" s="48">
        <v>1</v>
      </c>
      <c r="J46" s="48">
        <v>1</v>
      </c>
      <c r="K46" s="48">
        <v>1</v>
      </c>
      <c r="L46" s="48">
        <v>0</v>
      </c>
      <c r="M46" s="48">
        <v>1</v>
      </c>
      <c r="N46" s="48">
        <v>0</v>
      </c>
      <c r="O46" s="48">
        <v>0</v>
      </c>
      <c r="P46" s="2">
        <v>85</v>
      </c>
      <c r="Q46" s="2">
        <v>92</v>
      </c>
      <c r="R46" s="13">
        <v>0</v>
      </c>
      <c r="S46" s="13">
        <v>0</v>
      </c>
      <c r="T46" s="20">
        <v>96.4</v>
      </c>
      <c r="U46" s="17">
        <v>29</v>
      </c>
      <c r="V46" s="21">
        <v>45.488999999999997</v>
      </c>
      <c r="W46" s="21">
        <v>25.981000000000002</v>
      </c>
      <c r="X46" s="21">
        <v>14.221</v>
      </c>
      <c r="Y46" s="20">
        <v>0.84599999999999997</v>
      </c>
      <c r="Z46" s="37">
        <f t="shared" si="5"/>
        <v>846</v>
      </c>
      <c r="AA46" s="2">
        <v>5.4</v>
      </c>
      <c r="AB46" s="2">
        <v>90</v>
      </c>
      <c r="AC46" s="4"/>
      <c r="AD46" s="3"/>
      <c r="AE46" s="32">
        <v>-2.6</v>
      </c>
      <c r="AF46" s="32">
        <v>30.5</v>
      </c>
      <c r="AG46" s="32">
        <v>20.315000000000001</v>
      </c>
      <c r="AH46" s="44">
        <v>0.66600000000000004</v>
      </c>
      <c r="AI46" s="46">
        <v>35.200000000000003</v>
      </c>
      <c r="AJ46" s="53">
        <v>470.15086100666929</v>
      </c>
      <c r="AK46" s="53">
        <v>49.713732168028969</v>
      </c>
      <c r="AL46" s="53">
        <v>463</v>
      </c>
    </row>
    <row r="47" spans="1:38" customFormat="1" x14ac:dyDescent="0.3">
      <c r="A47" s="12" t="s">
        <v>53</v>
      </c>
      <c r="B47" s="20" t="str">
        <f t="shared" si="4"/>
        <v>bom</v>
      </c>
      <c r="C47" s="51">
        <v>5</v>
      </c>
      <c r="D47" s="20">
        <v>0</v>
      </c>
      <c r="E47" s="20">
        <v>0</v>
      </c>
      <c r="F47" s="20">
        <v>1</v>
      </c>
      <c r="G47" s="20">
        <v>0</v>
      </c>
      <c r="H47" s="20">
        <v>0</v>
      </c>
      <c r="I47" s="20">
        <v>1</v>
      </c>
      <c r="J47" s="20">
        <v>1</v>
      </c>
      <c r="K47" s="20">
        <v>1</v>
      </c>
      <c r="L47" s="20">
        <v>0</v>
      </c>
      <c r="M47" s="20">
        <v>1</v>
      </c>
      <c r="N47" s="20">
        <v>0</v>
      </c>
      <c r="O47" s="20">
        <v>0</v>
      </c>
      <c r="P47" s="2">
        <v>86</v>
      </c>
      <c r="Q47" s="2">
        <v>89</v>
      </c>
      <c r="R47" s="13">
        <v>5</v>
      </c>
      <c r="S47" s="13">
        <v>0</v>
      </c>
      <c r="T47" s="20">
        <v>107.2</v>
      </c>
      <c r="U47" s="17">
        <v>16</v>
      </c>
      <c r="V47" s="21">
        <v>33.451000000000001</v>
      </c>
      <c r="W47" s="21">
        <v>32.838000000000001</v>
      </c>
      <c r="X47" s="21">
        <v>18.21</v>
      </c>
      <c r="Y47" s="20">
        <v>1.2430000000000001</v>
      </c>
      <c r="Z47" s="37">
        <f t="shared" si="5"/>
        <v>1243</v>
      </c>
      <c r="AA47" s="2">
        <v>5.7</v>
      </c>
      <c r="AB47" s="2">
        <v>99</v>
      </c>
      <c r="AC47" s="2">
        <v>11.3</v>
      </c>
      <c r="AD47" s="3">
        <f>AB47*AC47/405</f>
        <v>2.7622222222222224</v>
      </c>
      <c r="AE47" s="32">
        <v>-1.3</v>
      </c>
      <c r="AF47" s="32">
        <v>31.3</v>
      </c>
      <c r="AG47" s="32">
        <v>12.519</v>
      </c>
      <c r="AH47" s="44">
        <v>0.4</v>
      </c>
      <c r="AI47" s="46">
        <v>48</v>
      </c>
      <c r="AJ47" s="53">
        <v>406.67903479725902</v>
      </c>
      <c r="AK47" s="53">
        <v>57.33582343612143</v>
      </c>
      <c r="AL47" s="53">
        <v>525.5</v>
      </c>
    </row>
    <row r="48" spans="1:38" customFormat="1" x14ac:dyDescent="0.3">
      <c r="A48" s="12" t="s">
        <v>13</v>
      </c>
      <c r="B48" s="20" t="str">
        <f t="shared" si="4"/>
        <v>bom</v>
      </c>
      <c r="C48" s="51">
        <v>4</v>
      </c>
      <c r="D48" s="20">
        <v>0</v>
      </c>
      <c r="E48" s="20">
        <v>1</v>
      </c>
      <c r="F48" s="20">
        <v>0</v>
      </c>
      <c r="G48" s="20">
        <v>0</v>
      </c>
      <c r="H48" s="20">
        <v>0</v>
      </c>
      <c r="I48" s="20">
        <v>0</v>
      </c>
      <c r="J48" s="20">
        <v>1</v>
      </c>
      <c r="K48" s="20">
        <v>0</v>
      </c>
      <c r="L48" s="20">
        <v>1</v>
      </c>
      <c r="M48" s="20">
        <v>0</v>
      </c>
      <c r="N48" s="20">
        <v>0</v>
      </c>
      <c r="O48" s="20">
        <v>0</v>
      </c>
      <c r="P48" s="2">
        <v>82</v>
      </c>
      <c r="Q48" s="2">
        <v>96</v>
      </c>
      <c r="R48" s="13">
        <v>0</v>
      </c>
      <c r="S48" s="13">
        <v>0</v>
      </c>
      <c r="T48" s="2">
        <v>120.5</v>
      </c>
      <c r="U48" s="2">
        <v>16</v>
      </c>
      <c r="V48" s="22">
        <v>46.817500000000003</v>
      </c>
      <c r="W48" s="22">
        <v>45.150799999999997</v>
      </c>
      <c r="X48" s="22">
        <v>24.834800000000001</v>
      </c>
      <c r="Y48" s="2">
        <v>1.5029999999999999</v>
      </c>
      <c r="Z48" s="37">
        <f t="shared" si="5"/>
        <v>1503</v>
      </c>
      <c r="AA48" s="2">
        <v>6.2</v>
      </c>
      <c r="AB48" s="2">
        <v>103</v>
      </c>
      <c r="AC48" s="2">
        <v>11</v>
      </c>
      <c r="AD48" s="3">
        <f>AB48*AC48/405</f>
        <v>2.7975308641975309</v>
      </c>
      <c r="AE48" s="32">
        <v>3.1</v>
      </c>
      <c r="AF48" s="32">
        <v>42.32</v>
      </c>
      <c r="AG48" s="32">
        <v>20.346</v>
      </c>
      <c r="AH48" s="44">
        <v>0.48099999999999998</v>
      </c>
      <c r="AI48" s="46">
        <v>48.2</v>
      </c>
      <c r="AJ48" s="53">
        <v>299.89999999999998</v>
      </c>
      <c r="AK48" s="53">
        <v>43.190000000000012</v>
      </c>
      <c r="AL48" s="53">
        <v>765.5</v>
      </c>
    </row>
    <row r="49" spans="1:38" customFormat="1" x14ac:dyDescent="0.3">
      <c r="A49" s="30" t="s">
        <v>84</v>
      </c>
      <c r="B49" s="48" t="str">
        <f t="shared" si="4"/>
        <v>ruim</v>
      </c>
      <c r="C49" s="51">
        <v>11</v>
      </c>
      <c r="D49" s="48">
        <v>0</v>
      </c>
      <c r="E49" s="48">
        <v>0</v>
      </c>
      <c r="F49" s="48">
        <v>0</v>
      </c>
      <c r="G49" s="48">
        <v>1</v>
      </c>
      <c r="H49" s="48">
        <v>0</v>
      </c>
      <c r="I49" s="48">
        <v>0</v>
      </c>
      <c r="J49" s="48">
        <v>0</v>
      </c>
      <c r="K49" s="48">
        <v>0</v>
      </c>
      <c r="L49" s="48">
        <v>0</v>
      </c>
      <c r="M49" s="48">
        <v>0</v>
      </c>
      <c r="N49" s="48">
        <v>1</v>
      </c>
      <c r="O49" s="48">
        <v>1</v>
      </c>
      <c r="P49" s="2">
        <v>66</v>
      </c>
      <c r="Q49" s="2">
        <v>45</v>
      </c>
      <c r="R49" s="13">
        <v>10</v>
      </c>
      <c r="S49" s="13">
        <v>7</v>
      </c>
      <c r="T49" s="2">
        <v>103</v>
      </c>
      <c r="U49" s="2">
        <v>16</v>
      </c>
      <c r="V49" s="22">
        <v>39.844999999999999</v>
      </c>
      <c r="W49" s="22">
        <v>39.511699999999998</v>
      </c>
      <c r="X49" s="22">
        <v>20.5976</v>
      </c>
      <c r="Y49" s="2">
        <v>1.304</v>
      </c>
      <c r="Z49" s="37">
        <f t="shared" si="5"/>
        <v>1304</v>
      </c>
      <c r="AA49" s="2">
        <v>5.5</v>
      </c>
      <c r="AB49" s="2">
        <v>88</v>
      </c>
      <c r="AC49" s="4"/>
      <c r="AD49" s="3"/>
      <c r="AE49" s="32">
        <v>-7.6</v>
      </c>
      <c r="AF49" s="32">
        <v>33.590000000000003</v>
      </c>
      <c r="AG49" s="32">
        <v>16.004999999999999</v>
      </c>
      <c r="AH49" s="44">
        <v>0.47599999999999998</v>
      </c>
      <c r="AI49" s="46">
        <v>48.5</v>
      </c>
      <c r="AJ49" s="53">
        <v>146.30801755235291</v>
      </c>
      <c r="AK49" s="53">
        <v>26.89</v>
      </c>
      <c r="AL49" s="53">
        <v>491.5</v>
      </c>
    </row>
    <row r="50" spans="1:38" customFormat="1" x14ac:dyDescent="0.3">
      <c r="A50" s="12" t="s">
        <v>85</v>
      </c>
      <c r="B50" s="20" t="str">
        <f t="shared" si="4"/>
        <v>bom</v>
      </c>
      <c r="C50" s="51">
        <v>4</v>
      </c>
      <c r="D50" s="48">
        <v>1</v>
      </c>
      <c r="E50" s="20">
        <v>1</v>
      </c>
      <c r="F50" s="20">
        <v>1</v>
      </c>
      <c r="G50" s="20">
        <v>0</v>
      </c>
      <c r="H50" s="20">
        <v>0</v>
      </c>
      <c r="I50" s="20">
        <v>0</v>
      </c>
      <c r="J50" s="20">
        <v>1</v>
      </c>
      <c r="K50" s="20">
        <v>1</v>
      </c>
      <c r="L50" s="20">
        <v>1</v>
      </c>
      <c r="M50" s="20">
        <v>0</v>
      </c>
      <c r="N50" s="20">
        <v>0</v>
      </c>
      <c r="O50" s="20">
        <v>0</v>
      </c>
      <c r="P50" s="2">
        <v>40</v>
      </c>
      <c r="Q50" s="2">
        <v>70</v>
      </c>
      <c r="R50" s="13">
        <v>5</v>
      </c>
      <c r="S50" s="13">
        <v>5</v>
      </c>
      <c r="T50" s="2">
        <v>134</v>
      </c>
      <c r="U50" s="2">
        <v>28</v>
      </c>
      <c r="V50" s="22">
        <v>57.501899999999999</v>
      </c>
      <c r="W50" s="22">
        <v>56.2</v>
      </c>
      <c r="X50" s="22">
        <v>34.051600000000001</v>
      </c>
      <c r="Y50" s="2">
        <v>2.2679999999999998</v>
      </c>
      <c r="Z50" s="37">
        <f t="shared" si="5"/>
        <v>2268</v>
      </c>
      <c r="AA50" s="2">
        <v>6.3</v>
      </c>
      <c r="AB50" s="2">
        <v>109</v>
      </c>
      <c r="AC50" s="4"/>
      <c r="AD50" s="3"/>
      <c r="AE50" s="32">
        <v>-2.5</v>
      </c>
      <c r="AF50" s="32">
        <v>35.6</v>
      </c>
      <c r="AG50" s="32">
        <v>25.067</v>
      </c>
      <c r="AH50" s="44">
        <v>0.70399999999999996</v>
      </c>
      <c r="AI50" s="46">
        <v>48.2</v>
      </c>
      <c r="AJ50" s="53">
        <v>1480.4425588736181</v>
      </c>
      <c r="AK50" s="53">
        <v>78.679999999999978</v>
      </c>
      <c r="AL50" s="53">
        <v>663</v>
      </c>
    </row>
    <row r="51" spans="1:38" customFormat="1" x14ac:dyDescent="0.3">
      <c r="A51" s="12" t="s">
        <v>14</v>
      </c>
      <c r="B51" s="20" t="str">
        <f t="shared" si="4"/>
        <v>bom</v>
      </c>
      <c r="C51" s="51">
        <v>1</v>
      </c>
      <c r="D51" s="20">
        <v>1</v>
      </c>
      <c r="E51" s="20">
        <v>0</v>
      </c>
      <c r="F51" s="20">
        <v>1</v>
      </c>
      <c r="G51" s="20">
        <v>0</v>
      </c>
      <c r="H51" s="20">
        <v>0</v>
      </c>
      <c r="I51" s="20">
        <v>0</v>
      </c>
      <c r="J51" s="20">
        <v>0</v>
      </c>
      <c r="K51" s="20">
        <v>1</v>
      </c>
      <c r="L51" s="20">
        <v>0</v>
      </c>
      <c r="M51" s="20">
        <v>0</v>
      </c>
      <c r="N51" s="20">
        <v>0</v>
      </c>
      <c r="O51" s="20">
        <v>0</v>
      </c>
      <c r="P51" s="2">
        <v>92</v>
      </c>
      <c r="Q51" s="2">
        <v>89</v>
      </c>
      <c r="R51" s="13">
        <v>0</v>
      </c>
      <c r="S51" s="13">
        <v>0</v>
      </c>
      <c r="T51" s="2">
        <v>108.3</v>
      </c>
      <c r="U51" s="2">
        <v>30</v>
      </c>
      <c r="V51" s="22">
        <v>50.840600000000002</v>
      </c>
      <c r="W51" s="22">
        <v>32.148800000000001</v>
      </c>
      <c r="X51" s="22">
        <v>17.678599999999999</v>
      </c>
      <c r="Y51" s="2">
        <v>1.4510000000000001</v>
      </c>
      <c r="Z51" s="37">
        <f t="shared" si="5"/>
        <v>1451</v>
      </c>
      <c r="AA51" s="2">
        <v>5.7</v>
      </c>
      <c r="AB51" s="2">
        <v>88</v>
      </c>
      <c r="AC51" s="2">
        <v>9</v>
      </c>
      <c r="AD51" s="3">
        <f>AB51*AC51/405</f>
        <v>1.9555555555555555</v>
      </c>
      <c r="AE51" s="32">
        <v>0.5</v>
      </c>
      <c r="AF51" s="32">
        <v>30.3</v>
      </c>
      <c r="AG51" s="32">
        <v>23.382000000000001</v>
      </c>
      <c r="AH51" s="44">
        <v>0.77200000000000002</v>
      </c>
      <c r="AI51" s="46">
        <v>37.5</v>
      </c>
      <c r="AJ51" s="53">
        <v>235.5</v>
      </c>
      <c r="AK51" s="53">
        <v>29.145</v>
      </c>
      <c r="AL51" s="53">
        <v>541.5</v>
      </c>
    </row>
    <row r="52" spans="1:38" customFormat="1" x14ac:dyDescent="0.3">
      <c r="A52" s="12" t="s">
        <v>54</v>
      </c>
      <c r="B52" s="48" t="str">
        <f t="shared" si="4"/>
        <v>bom</v>
      </c>
      <c r="C52" s="51">
        <v>5</v>
      </c>
      <c r="D52" s="20">
        <v>1</v>
      </c>
      <c r="E52" s="48">
        <v>1</v>
      </c>
      <c r="F52" s="48">
        <v>1</v>
      </c>
      <c r="G52" s="48">
        <v>0</v>
      </c>
      <c r="H52" s="48">
        <v>0</v>
      </c>
      <c r="I52" s="48">
        <v>1</v>
      </c>
      <c r="J52" s="48">
        <v>1</v>
      </c>
      <c r="K52" s="48">
        <v>1</v>
      </c>
      <c r="L52" s="48">
        <v>1</v>
      </c>
      <c r="M52" s="48">
        <v>1</v>
      </c>
      <c r="N52" s="48">
        <v>0</v>
      </c>
      <c r="O52" s="48">
        <v>0</v>
      </c>
      <c r="P52" s="2">
        <v>59</v>
      </c>
      <c r="Q52" s="2">
        <v>62</v>
      </c>
      <c r="R52" s="13">
        <v>5</v>
      </c>
      <c r="S52" s="13">
        <v>3</v>
      </c>
      <c r="T52" s="2">
        <v>111</v>
      </c>
      <c r="U52" s="26">
        <v>19</v>
      </c>
      <c r="V52" s="22">
        <v>50.597999999999999</v>
      </c>
      <c r="W52" s="22">
        <v>34.671500000000002</v>
      </c>
      <c r="X52" s="22">
        <v>22.581499999999998</v>
      </c>
      <c r="Y52" s="2">
        <v>1.921</v>
      </c>
      <c r="Z52" s="37">
        <f t="shared" si="5"/>
        <v>1921</v>
      </c>
      <c r="AA52" s="2">
        <v>6</v>
      </c>
      <c r="AB52" s="2">
        <v>118</v>
      </c>
      <c r="AC52" s="2">
        <v>26.1</v>
      </c>
      <c r="AD52" s="3">
        <f>AB52*AC52/405</f>
        <v>7.6044444444444448</v>
      </c>
      <c r="AE52" s="32">
        <v>-6.6</v>
      </c>
      <c r="AF52" s="32">
        <v>32.200000000000003</v>
      </c>
      <c r="AG52" s="32">
        <v>22.242999999999999</v>
      </c>
      <c r="AH52" s="44">
        <v>0.69099999999999995</v>
      </c>
      <c r="AI52" s="46">
        <v>39.6</v>
      </c>
      <c r="AJ52" s="53">
        <v>642.1</v>
      </c>
      <c r="AK52" s="53">
        <v>56.595000000000013</v>
      </c>
      <c r="AL52" s="53">
        <v>829</v>
      </c>
    </row>
    <row r="53" spans="1:38" customFormat="1" x14ac:dyDescent="0.3">
      <c r="A53" s="12" t="s">
        <v>55</v>
      </c>
      <c r="B53" s="20" t="str">
        <f t="shared" si="4"/>
        <v>bom</v>
      </c>
      <c r="C53" s="51">
        <v>5</v>
      </c>
      <c r="D53" s="48">
        <v>1</v>
      </c>
      <c r="E53" s="20">
        <v>1</v>
      </c>
      <c r="F53" s="20">
        <v>1</v>
      </c>
      <c r="G53" s="20">
        <v>0</v>
      </c>
      <c r="H53" s="20">
        <v>0</v>
      </c>
      <c r="I53" s="20">
        <v>1</v>
      </c>
      <c r="J53" s="20">
        <v>0</v>
      </c>
      <c r="K53" s="20">
        <v>1</v>
      </c>
      <c r="L53" s="20">
        <v>1</v>
      </c>
      <c r="M53" s="20">
        <v>1</v>
      </c>
      <c r="N53" s="20">
        <v>0</v>
      </c>
      <c r="O53" s="20">
        <v>0</v>
      </c>
      <c r="P53" s="2">
        <v>61</v>
      </c>
      <c r="Q53" s="2">
        <v>66</v>
      </c>
      <c r="R53" s="13">
        <v>3</v>
      </c>
      <c r="S53" s="13">
        <v>2</v>
      </c>
      <c r="T53" s="14">
        <v>145.5</v>
      </c>
      <c r="U53" s="14">
        <v>32</v>
      </c>
      <c r="V53" s="14">
        <v>68.210599999999999</v>
      </c>
      <c r="W53" s="14">
        <v>66.438999999999993</v>
      </c>
      <c r="X53" s="15">
        <v>38.201599999999999</v>
      </c>
      <c r="Y53" s="14">
        <v>1.206</v>
      </c>
      <c r="Z53" s="37">
        <f t="shared" si="5"/>
        <v>1206</v>
      </c>
      <c r="AA53" s="14">
        <v>6.7</v>
      </c>
      <c r="AB53" s="14">
        <v>149</v>
      </c>
      <c r="AC53" s="14">
        <v>47.4</v>
      </c>
      <c r="AD53" s="3">
        <f>AB53*AC53/405</f>
        <v>17.438518518518517</v>
      </c>
      <c r="AE53" s="32"/>
      <c r="AF53" s="32">
        <v>46.5</v>
      </c>
      <c r="AG53" s="32">
        <v>27.808</v>
      </c>
      <c r="AH53" s="44">
        <v>0.59799999999999998</v>
      </c>
      <c r="AI53" s="46">
        <v>48.3</v>
      </c>
      <c r="AJ53" s="53">
        <v>519.69999999999993</v>
      </c>
      <c r="AK53" s="53">
        <v>44.984999999999999</v>
      </c>
      <c r="AL53" s="53">
        <v>913</v>
      </c>
    </row>
    <row r="54" spans="1:38" customFormat="1" x14ac:dyDescent="0.3">
      <c r="A54" s="12" t="s">
        <v>15</v>
      </c>
      <c r="B54" s="20" t="str">
        <f t="shared" si="4"/>
        <v>bom</v>
      </c>
      <c r="C54" s="51">
        <v>3</v>
      </c>
      <c r="D54" s="20">
        <v>0</v>
      </c>
      <c r="E54" s="20">
        <v>1</v>
      </c>
      <c r="F54" s="20">
        <v>1</v>
      </c>
      <c r="G54" s="20">
        <v>0</v>
      </c>
      <c r="H54" s="20">
        <v>0</v>
      </c>
      <c r="I54" s="20">
        <v>0</v>
      </c>
      <c r="J54" s="20">
        <v>1</v>
      </c>
      <c r="K54" s="20">
        <v>1</v>
      </c>
      <c r="L54" s="20">
        <v>1</v>
      </c>
      <c r="M54" s="20">
        <v>0</v>
      </c>
      <c r="N54" s="20">
        <v>0</v>
      </c>
      <c r="O54" s="20">
        <v>0</v>
      </c>
      <c r="P54" s="32"/>
      <c r="Q54" s="32"/>
      <c r="R54" s="13">
        <v>5</v>
      </c>
      <c r="S54" s="13">
        <v>1</v>
      </c>
      <c r="T54" s="2">
        <v>110.9</v>
      </c>
      <c r="U54" s="2">
        <v>16</v>
      </c>
      <c r="V54" s="22">
        <v>34.456000000000003</v>
      </c>
      <c r="W54" s="22">
        <v>44.47</v>
      </c>
      <c r="X54" s="22">
        <v>23.356000000000002</v>
      </c>
      <c r="Y54" s="2">
        <v>1.274</v>
      </c>
      <c r="Z54" s="37">
        <f t="shared" si="5"/>
        <v>1274</v>
      </c>
      <c r="AA54" s="2">
        <v>5.9</v>
      </c>
      <c r="AB54" s="2">
        <v>107</v>
      </c>
      <c r="AC54" s="2">
        <v>8.6999999999999993</v>
      </c>
      <c r="AD54" s="3">
        <f>AB54*AC54/405</f>
        <v>2.2985185185185184</v>
      </c>
      <c r="AE54" s="32">
        <v>-0.3</v>
      </c>
      <c r="AF54" s="32">
        <v>36.1</v>
      </c>
      <c r="AG54" s="32">
        <v>13.701000000000001</v>
      </c>
      <c r="AH54" s="44">
        <v>0.38</v>
      </c>
      <c r="AI54" s="46">
        <v>55.2</v>
      </c>
      <c r="AJ54" s="53">
        <v>263.30985591550188</v>
      </c>
      <c r="AK54" s="53">
        <v>29.91</v>
      </c>
      <c r="AL54" s="53">
        <v>763.5</v>
      </c>
    </row>
    <row r="55" spans="1:38" customFormat="1" x14ac:dyDescent="0.3">
      <c r="A55" s="12" t="s">
        <v>86</v>
      </c>
      <c r="B55" s="48" t="str">
        <f t="shared" si="4"/>
        <v>ruim</v>
      </c>
      <c r="C55" s="51">
        <v>8</v>
      </c>
      <c r="D55" s="20">
        <v>0</v>
      </c>
      <c r="E55" s="48">
        <v>1</v>
      </c>
      <c r="F55" s="48">
        <v>1</v>
      </c>
      <c r="G55" s="48">
        <v>0</v>
      </c>
      <c r="H55" s="48">
        <v>1</v>
      </c>
      <c r="I55" s="48">
        <v>1</v>
      </c>
      <c r="J55" s="48">
        <v>0</v>
      </c>
      <c r="K55" s="48">
        <v>1</v>
      </c>
      <c r="L55" s="48">
        <v>1</v>
      </c>
      <c r="M55" s="48">
        <v>1</v>
      </c>
      <c r="N55" s="48">
        <v>1</v>
      </c>
      <c r="O55" s="48">
        <v>0</v>
      </c>
      <c r="P55" s="2">
        <v>45</v>
      </c>
      <c r="Q55" s="2">
        <v>57</v>
      </c>
      <c r="R55" s="13">
        <v>10</v>
      </c>
      <c r="S55" s="13">
        <v>2</v>
      </c>
      <c r="T55" s="2">
        <v>109.7</v>
      </c>
      <c r="U55" s="2">
        <v>19</v>
      </c>
      <c r="V55" s="22">
        <v>39.972999999999999</v>
      </c>
      <c r="W55" s="22">
        <v>40.120199999999997</v>
      </c>
      <c r="X55" s="22">
        <v>21.389299999999999</v>
      </c>
      <c r="Y55" s="2">
        <v>1.258</v>
      </c>
      <c r="Z55" s="37">
        <f t="shared" si="5"/>
        <v>1258</v>
      </c>
      <c r="AA55" s="2">
        <v>5.7</v>
      </c>
      <c r="AB55" s="2">
        <v>99</v>
      </c>
      <c r="AC55" s="25"/>
      <c r="AD55" s="3"/>
      <c r="AE55" s="32">
        <v>-3.2</v>
      </c>
      <c r="AF55" s="32">
        <v>35</v>
      </c>
      <c r="AG55" s="32">
        <v>16.413</v>
      </c>
      <c r="AH55" s="44">
        <v>0.46899999999999997</v>
      </c>
      <c r="AI55" s="46">
        <v>48.9</v>
      </c>
      <c r="AJ55" s="53">
        <v>415.65955757039058</v>
      </c>
      <c r="AK55" s="53">
        <v>49.913319053628612</v>
      </c>
      <c r="AL55" s="53">
        <v>646</v>
      </c>
    </row>
    <row r="56" spans="1:38" customFormat="1" x14ac:dyDescent="0.3">
      <c r="A56" s="12" t="s">
        <v>62</v>
      </c>
      <c r="B56" s="20"/>
      <c r="C56" s="51"/>
      <c r="D56" s="48">
        <v>0</v>
      </c>
      <c r="E56" s="20">
        <v>0</v>
      </c>
      <c r="F56" s="20">
        <v>0</v>
      </c>
      <c r="G56" s="20">
        <v>0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</v>
      </c>
      <c r="N56" s="20">
        <v>0</v>
      </c>
      <c r="O56" s="20">
        <v>0</v>
      </c>
      <c r="P56" s="32"/>
      <c r="Q56" s="32"/>
      <c r="R56" s="13"/>
      <c r="S56" s="13"/>
      <c r="T56" s="14">
        <v>102.1</v>
      </c>
      <c r="U56" s="14">
        <v>16</v>
      </c>
      <c r="V56" s="15">
        <v>36.6691</v>
      </c>
      <c r="W56" s="15">
        <v>38.488799999999998</v>
      </c>
      <c r="X56" s="15">
        <v>20.002400000000002</v>
      </c>
      <c r="Y56" s="14">
        <v>0.99</v>
      </c>
      <c r="Z56" s="37">
        <f>Y56*1000</f>
        <v>990</v>
      </c>
      <c r="AA56" s="14">
        <v>5.4</v>
      </c>
      <c r="AB56" s="14">
        <v>90</v>
      </c>
      <c r="AC56" s="23"/>
      <c r="AD56" s="3"/>
      <c r="AE56" s="32"/>
      <c r="AF56" s="32">
        <v>31.09</v>
      </c>
      <c r="AG56" s="32">
        <v>15.648</v>
      </c>
      <c r="AH56" s="45">
        <v>0.503</v>
      </c>
      <c r="AI56" s="47">
        <v>50</v>
      </c>
      <c r="AJ56" s="53">
        <v>303.59919165314318</v>
      </c>
      <c r="AK56" s="53">
        <v>36.820000000000007</v>
      </c>
      <c r="AL56" s="53">
        <v>512</v>
      </c>
    </row>
    <row r="57" spans="1:38" customFormat="1" x14ac:dyDescent="0.3">
      <c r="A57" s="12" t="s">
        <v>87</v>
      </c>
      <c r="B57" s="20" t="str">
        <f t="shared" si="4"/>
        <v>ruim</v>
      </c>
      <c r="C57" s="51">
        <v>7</v>
      </c>
      <c r="D57" s="48">
        <v>0</v>
      </c>
      <c r="E57" s="20">
        <v>0</v>
      </c>
      <c r="F57" s="20">
        <v>1</v>
      </c>
      <c r="G57" s="20">
        <v>1</v>
      </c>
      <c r="H57" s="20">
        <v>1</v>
      </c>
      <c r="I57" s="20">
        <v>1</v>
      </c>
      <c r="J57" s="20">
        <v>1</v>
      </c>
      <c r="K57" s="20">
        <v>1</v>
      </c>
      <c r="L57" s="20">
        <v>0</v>
      </c>
      <c r="M57" s="20">
        <v>1</v>
      </c>
      <c r="N57" s="20">
        <v>1</v>
      </c>
      <c r="O57" s="20">
        <v>1</v>
      </c>
      <c r="P57" s="2">
        <v>34</v>
      </c>
      <c r="Q57" s="2">
        <v>48</v>
      </c>
      <c r="R57" s="13">
        <v>15</v>
      </c>
      <c r="S57" s="13">
        <v>13</v>
      </c>
      <c r="T57" s="17">
        <v>107.1</v>
      </c>
      <c r="U57" s="17">
        <v>20</v>
      </c>
      <c r="V57" s="18">
        <v>39.618000000000002</v>
      </c>
      <c r="W57" s="18">
        <v>35.112000000000002</v>
      </c>
      <c r="X57" s="18">
        <v>18.413</v>
      </c>
      <c r="Y57" s="17">
        <v>0.88500000000000001</v>
      </c>
      <c r="Z57" s="37">
        <f t="shared" si="5"/>
        <v>885</v>
      </c>
      <c r="AA57" s="19">
        <v>8.5</v>
      </c>
      <c r="AB57" s="19">
        <v>187</v>
      </c>
      <c r="AC57" s="19">
        <v>24.7</v>
      </c>
      <c r="AD57" s="3">
        <f t="shared" ref="AD57:AD70" si="6">AB57*AC57/405</f>
        <v>11.40469135802469</v>
      </c>
      <c r="AE57" s="32">
        <v>-9.1</v>
      </c>
      <c r="AF57" s="32">
        <v>33.4</v>
      </c>
      <c r="AG57" s="32">
        <v>15.423999999999999</v>
      </c>
      <c r="AH57" s="44">
        <v>0.43</v>
      </c>
      <c r="AI57" s="46">
        <v>45.9</v>
      </c>
      <c r="AJ57" s="53">
        <v>202.45735571744029</v>
      </c>
      <c r="AK57" s="53">
        <v>21.92</v>
      </c>
      <c r="AL57" s="53">
        <v>1279</v>
      </c>
    </row>
    <row r="58" spans="1:38" customFormat="1" x14ac:dyDescent="0.3">
      <c r="A58" s="12" t="s">
        <v>56</v>
      </c>
      <c r="B58" s="48" t="str">
        <f t="shared" si="4"/>
        <v>bom</v>
      </c>
      <c r="C58" s="51">
        <v>5</v>
      </c>
      <c r="D58" s="20">
        <v>0</v>
      </c>
      <c r="E58" s="48">
        <v>0</v>
      </c>
      <c r="F58" s="48">
        <v>0</v>
      </c>
      <c r="G58" s="48">
        <v>0</v>
      </c>
      <c r="H58" s="48">
        <v>0</v>
      </c>
      <c r="I58" s="48">
        <v>0</v>
      </c>
      <c r="J58" s="48">
        <v>1</v>
      </c>
      <c r="K58" s="48">
        <v>0</v>
      </c>
      <c r="L58" s="48">
        <v>0</v>
      </c>
      <c r="M58" s="48">
        <v>0</v>
      </c>
      <c r="N58" s="48">
        <v>1</v>
      </c>
      <c r="O58" s="48">
        <v>0</v>
      </c>
      <c r="P58" s="2">
        <v>43</v>
      </c>
      <c r="Q58" s="2">
        <v>74</v>
      </c>
      <c r="R58" s="13">
        <v>6</v>
      </c>
      <c r="S58" s="13">
        <v>4</v>
      </c>
      <c r="T58" s="2">
        <v>94</v>
      </c>
      <c r="U58" s="2">
        <v>16</v>
      </c>
      <c r="V58" s="22">
        <v>31.317499999999999</v>
      </c>
      <c r="W58" s="22">
        <v>30.998699999999999</v>
      </c>
      <c r="X58" s="22">
        <v>13.5275</v>
      </c>
      <c r="Y58" s="2">
        <v>0.68</v>
      </c>
      <c r="Z58" s="37">
        <f t="shared" si="5"/>
        <v>680</v>
      </c>
      <c r="AA58" s="2">
        <v>5.6</v>
      </c>
      <c r="AB58" s="2">
        <v>89</v>
      </c>
      <c r="AC58" s="2">
        <v>4</v>
      </c>
      <c r="AD58" s="3">
        <f t="shared" si="6"/>
        <v>0.87901234567901232</v>
      </c>
      <c r="AE58" s="32">
        <v>-10.4</v>
      </c>
      <c r="AF58" s="32">
        <v>31.01</v>
      </c>
      <c r="AG58" s="32">
        <v>12.494999999999999</v>
      </c>
      <c r="AH58" s="44">
        <v>0.40300000000000002</v>
      </c>
      <c r="AI58" s="46">
        <v>48.4</v>
      </c>
      <c r="AJ58" s="53">
        <v>89.5</v>
      </c>
      <c r="AK58" s="53">
        <v>21.76</v>
      </c>
      <c r="AL58" s="53">
        <v>617.5</v>
      </c>
    </row>
    <row r="59" spans="1:38" customFormat="1" x14ac:dyDescent="0.3">
      <c r="A59" s="12" t="s">
        <v>88</v>
      </c>
      <c r="B59" s="20"/>
      <c r="C59" s="51"/>
      <c r="D59" s="20">
        <v>0</v>
      </c>
      <c r="E59" s="20">
        <v>0</v>
      </c>
      <c r="F59" s="20">
        <v>1</v>
      </c>
      <c r="G59" s="20">
        <v>0</v>
      </c>
      <c r="H59" s="20">
        <v>0</v>
      </c>
      <c r="I59" s="20">
        <v>0</v>
      </c>
      <c r="J59" s="20">
        <v>0</v>
      </c>
      <c r="K59" s="20">
        <v>1</v>
      </c>
      <c r="L59" s="20">
        <v>0</v>
      </c>
      <c r="M59" s="20">
        <v>0</v>
      </c>
      <c r="N59" s="20">
        <v>0</v>
      </c>
      <c r="O59" s="20">
        <v>0</v>
      </c>
      <c r="P59" s="2">
        <v>80</v>
      </c>
      <c r="Q59" s="2">
        <v>78</v>
      </c>
      <c r="R59" s="13">
        <v>2</v>
      </c>
      <c r="S59" s="13">
        <v>4</v>
      </c>
      <c r="T59" s="2">
        <v>99</v>
      </c>
      <c r="U59" s="2">
        <v>18</v>
      </c>
      <c r="V59" s="22">
        <v>35.982999999999997</v>
      </c>
      <c r="W59" s="22">
        <v>32.148800000000001</v>
      </c>
      <c r="X59" s="22">
        <v>15.5296</v>
      </c>
      <c r="Y59" s="2">
        <v>0.75</v>
      </c>
      <c r="Z59" s="37">
        <f t="shared" si="5"/>
        <v>750</v>
      </c>
      <c r="AA59" s="2">
        <v>5.8</v>
      </c>
      <c r="AB59" s="2">
        <v>98</v>
      </c>
      <c r="AC59" s="2">
        <v>7</v>
      </c>
      <c r="AD59" s="3">
        <f t="shared" si="6"/>
        <v>1.6938271604938271</v>
      </c>
      <c r="AE59" s="32">
        <v>-1</v>
      </c>
      <c r="AF59" s="32">
        <v>31.42</v>
      </c>
      <c r="AG59" s="32">
        <v>14.932</v>
      </c>
      <c r="AH59" s="44">
        <v>0.47499999999999998</v>
      </c>
      <c r="AI59" s="46">
        <v>45.7</v>
      </c>
      <c r="AJ59" s="53">
        <v>177.40050270401969</v>
      </c>
      <c r="AK59" s="53">
        <v>33.894999999999989</v>
      </c>
      <c r="AL59" s="53">
        <v>475.5</v>
      </c>
    </row>
    <row r="60" spans="1:38" customFormat="1" x14ac:dyDescent="0.3">
      <c r="A60" s="12" t="s">
        <v>16</v>
      </c>
      <c r="B60" s="20" t="str">
        <f t="shared" ref="B60:B72" si="7">IF(C60&gt;5,"ruim","bom")</f>
        <v>bom</v>
      </c>
      <c r="C60" s="51">
        <v>4</v>
      </c>
      <c r="D60" s="48">
        <v>0</v>
      </c>
      <c r="E60" s="20">
        <v>0</v>
      </c>
      <c r="F60" s="20">
        <v>1</v>
      </c>
      <c r="G60" s="20">
        <v>0</v>
      </c>
      <c r="H60" s="20">
        <v>1</v>
      </c>
      <c r="I60" s="20">
        <v>1</v>
      </c>
      <c r="J60" s="20">
        <v>0</v>
      </c>
      <c r="K60" s="20">
        <v>1</v>
      </c>
      <c r="L60" s="20">
        <v>0</v>
      </c>
      <c r="M60" s="20">
        <v>1</v>
      </c>
      <c r="N60" s="20">
        <v>0</v>
      </c>
      <c r="O60" s="20">
        <v>0</v>
      </c>
      <c r="P60" s="2">
        <v>75</v>
      </c>
      <c r="Q60" s="2">
        <v>77</v>
      </c>
      <c r="R60" s="13">
        <v>5</v>
      </c>
      <c r="S60" s="13">
        <v>4</v>
      </c>
      <c r="T60" s="17">
        <v>104.3</v>
      </c>
      <c r="U60" s="17">
        <v>22</v>
      </c>
      <c r="V60" s="18">
        <v>38.366</v>
      </c>
      <c r="W60" s="18">
        <v>40.869999999999997</v>
      </c>
      <c r="X60" s="18">
        <v>18.196000000000002</v>
      </c>
      <c r="Y60" s="17">
        <v>1.054</v>
      </c>
      <c r="Z60" s="37">
        <f t="shared" si="5"/>
        <v>1054</v>
      </c>
      <c r="AA60" s="19">
        <v>6.7</v>
      </c>
      <c r="AB60" s="19">
        <v>136</v>
      </c>
      <c r="AC60" s="19">
        <v>21.3</v>
      </c>
      <c r="AD60" s="3">
        <f t="shared" si="6"/>
        <v>7.1525925925925931</v>
      </c>
      <c r="AE60" s="32">
        <v>-1.5</v>
      </c>
      <c r="AF60" s="32">
        <v>37.4</v>
      </c>
      <c r="AG60" s="32">
        <v>17.329999999999998</v>
      </c>
      <c r="AH60" s="44">
        <v>0.46300000000000002</v>
      </c>
      <c r="AI60" s="46">
        <v>50.4</v>
      </c>
      <c r="AJ60" s="53">
        <v>801.41846062787249</v>
      </c>
      <c r="AK60" s="53">
        <v>65.685000000000016</v>
      </c>
      <c r="AL60" s="53">
        <v>1136.5</v>
      </c>
    </row>
    <row r="61" spans="1:38" customFormat="1" x14ac:dyDescent="0.3">
      <c r="A61" s="12" t="s">
        <v>89</v>
      </c>
      <c r="B61" s="48" t="str">
        <f t="shared" si="7"/>
        <v>ruim</v>
      </c>
      <c r="C61" s="51">
        <v>9</v>
      </c>
      <c r="D61" s="20">
        <v>0</v>
      </c>
      <c r="E61" s="48">
        <v>1</v>
      </c>
      <c r="F61" s="48">
        <v>1</v>
      </c>
      <c r="G61" s="48">
        <v>1</v>
      </c>
      <c r="H61" s="48">
        <v>1</v>
      </c>
      <c r="I61" s="48">
        <v>0</v>
      </c>
      <c r="J61" s="48">
        <v>0</v>
      </c>
      <c r="K61" s="48">
        <v>1</v>
      </c>
      <c r="L61" s="48">
        <v>1</v>
      </c>
      <c r="M61" s="48">
        <v>0</v>
      </c>
      <c r="N61" s="48">
        <v>0</v>
      </c>
      <c r="O61" s="48">
        <v>1</v>
      </c>
      <c r="P61" s="2">
        <v>14</v>
      </c>
      <c r="Q61" s="2">
        <v>53</v>
      </c>
      <c r="R61" s="13">
        <v>5</v>
      </c>
      <c r="S61" s="13">
        <v>5</v>
      </c>
      <c r="T61" s="2">
        <v>128</v>
      </c>
      <c r="U61" s="2">
        <v>16</v>
      </c>
      <c r="V61" s="22">
        <v>52.457099999999997</v>
      </c>
      <c r="W61" s="22">
        <v>48.581000000000003</v>
      </c>
      <c r="X61" s="22">
        <v>29.408799999999999</v>
      </c>
      <c r="Y61" s="2">
        <v>1.645</v>
      </c>
      <c r="Z61" s="37">
        <f t="shared" si="5"/>
        <v>1645</v>
      </c>
      <c r="AA61" s="2">
        <v>5.8</v>
      </c>
      <c r="AB61" s="2">
        <v>110</v>
      </c>
      <c r="AC61" s="2">
        <v>20</v>
      </c>
      <c r="AD61" s="3">
        <f t="shared" si="6"/>
        <v>5.4320987654320989</v>
      </c>
      <c r="AE61" s="32">
        <v>-9.3000000000000007</v>
      </c>
      <c r="AF61" s="32">
        <v>39.840000000000003</v>
      </c>
      <c r="AG61" s="32">
        <v>20.745000000000001</v>
      </c>
      <c r="AH61" s="44">
        <v>0.52100000000000002</v>
      </c>
      <c r="AI61" s="46">
        <v>47</v>
      </c>
      <c r="AJ61" s="53">
        <v>425.5</v>
      </c>
      <c r="AK61" s="53">
        <v>30.449999999999982</v>
      </c>
      <c r="AL61" s="53">
        <v>761.5</v>
      </c>
    </row>
    <row r="62" spans="1:38" customFormat="1" x14ac:dyDescent="0.3">
      <c r="A62" s="12" t="s">
        <v>17</v>
      </c>
      <c r="B62" s="20" t="str">
        <f t="shared" si="7"/>
        <v>ruim</v>
      </c>
      <c r="C62" s="51">
        <v>7</v>
      </c>
      <c r="D62" s="20">
        <v>0</v>
      </c>
      <c r="E62" s="20">
        <v>0</v>
      </c>
      <c r="F62" s="20">
        <v>0</v>
      </c>
      <c r="G62" s="20">
        <v>0</v>
      </c>
      <c r="H62" s="20">
        <v>0</v>
      </c>
      <c r="I62" s="20">
        <v>0</v>
      </c>
      <c r="J62" s="20">
        <v>1</v>
      </c>
      <c r="K62" s="20">
        <v>0</v>
      </c>
      <c r="L62" s="20">
        <v>0</v>
      </c>
      <c r="M62" s="20">
        <v>0</v>
      </c>
      <c r="N62" s="20">
        <v>1</v>
      </c>
      <c r="O62" s="20">
        <v>0</v>
      </c>
      <c r="P62" s="2">
        <v>73</v>
      </c>
      <c r="Q62" s="2">
        <v>81</v>
      </c>
      <c r="R62" s="13">
        <v>0</v>
      </c>
      <c r="S62" s="13">
        <v>3</v>
      </c>
      <c r="T62" s="2">
        <v>112</v>
      </c>
      <c r="U62" s="2">
        <v>22</v>
      </c>
      <c r="V62" s="22">
        <v>39.473999999999997</v>
      </c>
      <c r="W62" s="22">
        <v>42.535899999999998</v>
      </c>
      <c r="X62" s="22">
        <v>21.549099999999999</v>
      </c>
      <c r="Y62" s="2">
        <v>1.1619999999999999</v>
      </c>
      <c r="Z62" s="37">
        <f t="shared" si="5"/>
        <v>1162</v>
      </c>
      <c r="AA62" s="2">
        <v>5.6</v>
      </c>
      <c r="AB62" s="2">
        <v>104</v>
      </c>
      <c r="AC62" s="2">
        <v>20.399999999999999</v>
      </c>
      <c r="AD62" s="3">
        <f t="shared" si="6"/>
        <v>5.2385185185185179</v>
      </c>
      <c r="AE62" s="32">
        <v>-0.4</v>
      </c>
      <c r="AF62" s="32">
        <v>39.799999999999997</v>
      </c>
      <c r="AG62" s="32">
        <v>17.27</v>
      </c>
      <c r="AH62" s="44">
        <v>0.434</v>
      </c>
      <c r="AI62" s="46">
        <v>50.8</v>
      </c>
      <c r="AJ62" s="53">
        <v>804.19999999999982</v>
      </c>
      <c r="AK62" s="53">
        <v>56.395000000000003</v>
      </c>
      <c r="AL62" s="53">
        <v>625</v>
      </c>
    </row>
    <row r="63" spans="1:38" customFormat="1" x14ac:dyDescent="0.3">
      <c r="A63" s="12" t="s">
        <v>57</v>
      </c>
      <c r="B63" s="20" t="str">
        <f t="shared" si="7"/>
        <v>ruim</v>
      </c>
      <c r="C63" s="51">
        <v>10</v>
      </c>
      <c r="D63" s="48">
        <v>0</v>
      </c>
      <c r="E63" s="20">
        <v>0</v>
      </c>
      <c r="F63" s="20">
        <v>1</v>
      </c>
      <c r="G63" s="20">
        <v>1</v>
      </c>
      <c r="H63" s="20">
        <v>1</v>
      </c>
      <c r="I63" s="20">
        <v>0</v>
      </c>
      <c r="J63" s="20">
        <v>0</v>
      </c>
      <c r="K63" s="20">
        <v>1</v>
      </c>
      <c r="L63" s="20">
        <v>0</v>
      </c>
      <c r="M63" s="20">
        <v>0</v>
      </c>
      <c r="N63" s="20">
        <v>0</v>
      </c>
      <c r="O63" s="20">
        <v>1</v>
      </c>
      <c r="P63" s="2">
        <v>26</v>
      </c>
      <c r="Q63" s="2">
        <v>25</v>
      </c>
      <c r="R63" s="13">
        <v>17</v>
      </c>
      <c r="S63" s="13">
        <v>10</v>
      </c>
      <c r="T63" s="2">
        <v>114.5</v>
      </c>
      <c r="U63" s="2">
        <v>14</v>
      </c>
      <c r="V63" s="22">
        <v>41.213299999999997</v>
      </c>
      <c r="W63" s="22">
        <v>47.385899999999999</v>
      </c>
      <c r="X63" s="22">
        <v>24.3658</v>
      </c>
      <c r="Y63" s="2">
        <v>1.367</v>
      </c>
      <c r="Z63" s="37">
        <f t="shared" si="5"/>
        <v>1367</v>
      </c>
      <c r="AA63" s="2">
        <v>5.2</v>
      </c>
      <c r="AB63" s="2">
        <v>96</v>
      </c>
      <c r="AC63" s="2">
        <v>12</v>
      </c>
      <c r="AD63" s="3">
        <f t="shared" si="6"/>
        <v>2.8444444444444446</v>
      </c>
      <c r="AE63" s="32">
        <v>-7.7</v>
      </c>
      <c r="AF63" s="32">
        <v>37.69</v>
      </c>
      <c r="AG63" s="32">
        <v>17.402000000000001</v>
      </c>
      <c r="AH63" s="44">
        <v>0.46200000000000002</v>
      </c>
      <c r="AI63" s="46">
        <v>52.4</v>
      </c>
      <c r="AJ63" s="53">
        <v>283.5</v>
      </c>
      <c r="AK63" s="53">
        <v>43.77500000000002</v>
      </c>
      <c r="AL63" s="53">
        <v>624.5</v>
      </c>
    </row>
    <row r="64" spans="1:38" customFormat="1" x14ac:dyDescent="0.3">
      <c r="A64" s="12" t="s">
        <v>18</v>
      </c>
      <c r="B64" s="48" t="str">
        <f t="shared" si="7"/>
        <v>bom</v>
      </c>
      <c r="C64" s="51">
        <v>4</v>
      </c>
      <c r="D64" s="48">
        <v>0</v>
      </c>
      <c r="E64" s="48">
        <v>0</v>
      </c>
      <c r="F64" s="48">
        <v>0</v>
      </c>
      <c r="G64" s="48">
        <v>0</v>
      </c>
      <c r="H64" s="48">
        <v>0</v>
      </c>
      <c r="I64" s="48">
        <v>0</v>
      </c>
      <c r="J64" s="48">
        <v>1</v>
      </c>
      <c r="K64" s="48">
        <v>0</v>
      </c>
      <c r="L64" s="48">
        <v>0</v>
      </c>
      <c r="M64" s="48">
        <v>0</v>
      </c>
      <c r="N64" s="48">
        <v>0</v>
      </c>
      <c r="O64" s="48">
        <v>0</v>
      </c>
      <c r="P64" s="2">
        <v>57</v>
      </c>
      <c r="Q64" s="2">
        <v>58</v>
      </c>
      <c r="R64" s="13">
        <v>13</v>
      </c>
      <c r="S64" s="13">
        <v>3</v>
      </c>
      <c r="T64" s="2">
        <v>92.5</v>
      </c>
      <c r="U64" s="3">
        <v>16</v>
      </c>
      <c r="V64" s="22">
        <v>31.432300000000001</v>
      </c>
      <c r="W64" s="22">
        <v>36.496000000000002</v>
      </c>
      <c r="X64" s="22">
        <v>17.233000000000001</v>
      </c>
      <c r="Y64" s="2">
        <v>0.63800000000000001</v>
      </c>
      <c r="Z64" s="37">
        <f t="shared" si="5"/>
        <v>638</v>
      </c>
      <c r="AA64" s="2">
        <v>5.2</v>
      </c>
      <c r="AB64" s="2">
        <v>83</v>
      </c>
      <c r="AC64" s="2">
        <v>10.199999999999999</v>
      </c>
      <c r="AD64" s="3">
        <f t="shared" si="6"/>
        <v>2.09037037037037</v>
      </c>
      <c r="AE64" s="32">
        <v>-3.8</v>
      </c>
      <c r="AF64" s="32">
        <v>32.299999999999997</v>
      </c>
      <c r="AG64" s="32">
        <v>13.007999999999999</v>
      </c>
      <c r="AH64" s="44">
        <v>0.40300000000000002</v>
      </c>
      <c r="AI64" s="46">
        <v>51.6</v>
      </c>
      <c r="AJ64" s="53">
        <v>300.2</v>
      </c>
      <c r="AK64" s="53">
        <v>35.39</v>
      </c>
      <c r="AL64" s="53">
        <v>397</v>
      </c>
    </row>
    <row r="65" spans="1:38" customFormat="1" x14ac:dyDescent="0.3">
      <c r="A65" s="12" t="s">
        <v>58</v>
      </c>
      <c r="B65" s="20" t="str">
        <f t="shared" si="7"/>
        <v>ruim</v>
      </c>
      <c r="C65" s="51">
        <v>6</v>
      </c>
      <c r="D65" s="20">
        <v>0</v>
      </c>
      <c r="E65" s="20">
        <v>0</v>
      </c>
      <c r="F65" s="20">
        <v>1</v>
      </c>
      <c r="G65" s="20">
        <v>0</v>
      </c>
      <c r="H65" s="20">
        <v>0</v>
      </c>
      <c r="I65" s="20">
        <v>0</v>
      </c>
      <c r="J65" s="20">
        <v>0</v>
      </c>
      <c r="K65" s="20">
        <v>1</v>
      </c>
      <c r="L65" s="20">
        <v>0</v>
      </c>
      <c r="M65" s="20">
        <v>0</v>
      </c>
      <c r="N65" s="20">
        <v>0</v>
      </c>
      <c r="O65" s="20">
        <v>0</v>
      </c>
      <c r="P65" s="2">
        <v>82</v>
      </c>
      <c r="Q65" s="2">
        <v>80</v>
      </c>
      <c r="R65" s="13">
        <v>6</v>
      </c>
      <c r="S65" s="13">
        <v>2</v>
      </c>
      <c r="T65" s="20">
        <v>110.9</v>
      </c>
      <c r="U65" s="17">
        <v>19</v>
      </c>
      <c r="V65" s="21">
        <v>40.853999999999999</v>
      </c>
      <c r="W65" s="21">
        <v>49.122999999999998</v>
      </c>
      <c r="X65" s="21">
        <v>23.591999999999999</v>
      </c>
      <c r="Y65" s="20">
        <v>0.88300000000000001</v>
      </c>
      <c r="Z65" s="37">
        <f t="shared" si="5"/>
        <v>883</v>
      </c>
      <c r="AA65" s="2">
        <v>5.0999999999999996</v>
      </c>
      <c r="AB65" s="2">
        <v>86</v>
      </c>
      <c r="AC65" s="2">
        <v>11.3</v>
      </c>
      <c r="AD65" s="3">
        <f t="shared" si="6"/>
        <v>2.3995061728395064</v>
      </c>
      <c r="AE65" s="32">
        <v>-1.2</v>
      </c>
      <c r="AF65" s="32">
        <v>35.299999999999997</v>
      </c>
      <c r="AG65" s="32">
        <v>17.736000000000001</v>
      </c>
      <c r="AH65" s="44">
        <v>0.502</v>
      </c>
      <c r="AI65" s="46">
        <v>53.1</v>
      </c>
      <c r="AJ65" s="49"/>
      <c r="AK65" s="49"/>
      <c r="AL65" s="49"/>
    </row>
    <row r="66" spans="1:38" customFormat="1" x14ac:dyDescent="0.3">
      <c r="A66" s="12" t="s">
        <v>19</v>
      </c>
      <c r="B66" s="20" t="str">
        <f t="shared" si="7"/>
        <v>ruim</v>
      </c>
      <c r="C66" s="51">
        <v>9</v>
      </c>
      <c r="D66" s="20">
        <v>0</v>
      </c>
      <c r="E66" s="20">
        <v>0</v>
      </c>
      <c r="F66" s="20">
        <v>0</v>
      </c>
      <c r="G66" s="20">
        <v>0</v>
      </c>
      <c r="H66" s="20">
        <v>1</v>
      </c>
      <c r="I66" s="20">
        <v>0</v>
      </c>
      <c r="J66" s="20">
        <v>1</v>
      </c>
      <c r="K66" s="20">
        <v>0</v>
      </c>
      <c r="L66" s="20">
        <v>0</v>
      </c>
      <c r="M66" s="20">
        <v>0</v>
      </c>
      <c r="N66" s="20">
        <v>0</v>
      </c>
      <c r="O66" s="20">
        <v>0</v>
      </c>
      <c r="P66" s="2">
        <v>59</v>
      </c>
      <c r="Q66" s="2">
        <v>80</v>
      </c>
      <c r="R66" s="13">
        <v>10</v>
      </c>
      <c r="S66" s="13">
        <v>3</v>
      </c>
      <c r="T66" s="2">
        <v>107.8</v>
      </c>
      <c r="U66" s="2">
        <v>17</v>
      </c>
      <c r="V66" s="22">
        <v>37.64</v>
      </c>
      <c r="W66" s="22">
        <v>38.984999999999999</v>
      </c>
      <c r="X66" s="22">
        <v>18.135999999999999</v>
      </c>
      <c r="Y66" s="2">
        <v>0.88300000000000001</v>
      </c>
      <c r="Z66" s="37">
        <f t="shared" si="5"/>
        <v>883</v>
      </c>
      <c r="AA66" s="2">
        <v>6.5</v>
      </c>
      <c r="AB66" s="2">
        <v>123</v>
      </c>
      <c r="AC66" s="2">
        <v>8.1999999999999993</v>
      </c>
      <c r="AD66" s="3">
        <f t="shared" si="6"/>
        <v>2.4903703703703703</v>
      </c>
      <c r="AE66" s="32">
        <v>1.4</v>
      </c>
      <c r="AF66" s="32">
        <v>33.299999999999997</v>
      </c>
      <c r="AG66" s="32">
        <v>16.02</v>
      </c>
      <c r="AH66" s="44">
        <v>0.48099999999999998</v>
      </c>
      <c r="AI66" s="46">
        <v>49.8</v>
      </c>
      <c r="AJ66" s="53">
        <v>190.856207699403</v>
      </c>
      <c r="AK66" s="53">
        <v>31.58093281549532</v>
      </c>
      <c r="AL66" s="53">
        <v>882.5</v>
      </c>
    </row>
    <row r="67" spans="1:38" customFormat="1" x14ac:dyDescent="0.3">
      <c r="A67" s="12" t="s">
        <v>20</v>
      </c>
      <c r="B67" s="48" t="str">
        <f t="shared" si="7"/>
        <v>bom</v>
      </c>
      <c r="C67" s="51">
        <v>3</v>
      </c>
      <c r="D67" s="48">
        <v>0</v>
      </c>
      <c r="E67" s="48">
        <v>0</v>
      </c>
      <c r="F67" s="48">
        <v>1</v>
      </c>
      <c r="G67" s="48">
        <v>0</v>
      </c>
      <c r="H67" s="48">
        <v>1</v>
      </c>
      <c r="I67" s="48">
        <v>0</v>
      </c>
      <c r="J67" s="48">
        <v>0</v>
      </c>
      <c r="K67" s="48">
        <v>1</v>
      </c>
      <c r="L67" s="48">
        <v>0</v>
      </c>
      <c r="M67" s="48">
        <v>0</v>
      </c>
      <c r="N67" s="48">
        <v>0</v>
      </c>
      <c r="O67" s="48">
        <v>0</v>
      </c>
      <c r="P67" s="2">
        <v>72</v>
      </c>
      <c r="Q67" s="2">
        <v>95</v>
      </c>
      <c r="R67" s="13">
        <v>8</v>
      </c>
      <c r="S67" s="13">
        <v>3</v>
      </c>
      <c r="T67" s="2">
        <v>102</v>
      </c>
      <c r="U67" s="2">
        <v>17</v>
      </c>
      <c r="V67" s="22">
        <v>38.719000000000001</v>
      </c>
      <c r="W67" s="2">
        <v>34.546199999999999</v>
      </c>
      <c r="X67" s="22">
        <v>17.341000000000001</v>
      </c>
      <c r="Y67" s="2">
        <v>0.85199999999999998</v>
      </c>
      <c r="Z67" s="37">
        <f t="shared" ref="Z67:Z97" si="8">Y67*1000</f>
        <v>852</v>
      </c>
      <c r="AA67" s="2">
        <v>4.9000000000000004</v>
      </c>
      <c r="AB67" s="2">
        <v>85</v>
      </c>
      <c r="AC67" s="2">
        <v>10.7</v>
      </c>
      <c r="AD67" s="3">
        <f t="shared" si="6"/>
        <v>2.2456790123456787</v>
      </c>
      <c r="AE67" s="32">
        <v>0.5</v>
      </c>
      <c r="AF67" s="32">
        <v>30.3</v>
      </c>
      <c r="AG67" s="32">
        <v>16.347999999999999</v>
      </c>
      <c r="AH67" s="44">
        <v>0.54</v>
      </c>
      <c r="AI67" s="46">
        <v>45.7</v>
      </c>
      <c r="AJ67" s="53">
        <v>750.85000000000014</v>
      </c>
      <c r="AK67" s="53">
        <v>54.395000000000003</v>
      </c>
      <c r="AL67" s="53">
        <v>446</v>
      </c>
    </row>
    <row r="68" spans="1:38" customFormat="1" x14ac:dyDescent="0.3">
      <c r="A68" s="12" t="s">
        <v>90</v>
      </c>
      <c r="B68" s="20" t="str">
        <f t="shared" si="7"/>
        <v>ruim</v>
      </c>
      <c r="C68" s="51">
        <v>16</v>
      </c>
      <c r="D68" s="20">
        <v>0</v>
      </c>
      <c r="E68" s="20">
        <v>1</v>
      </c>
      <c r="F68" s="20">
        <v>1</v>
      </c>
      <c r="G68" s="20">
        <v>1</v>
      </c>
      <c r="H68" s="20">
        <v>0</v>
      </c>
      <c r="I68" s="20">
        <v>1</v>
      </c>
      <c r="J68" s="20">
        <v>1</v>
      </c>
      <c r="K68" s="20">
        <v>1</v>
      </c>
      <c r="L68" s="20">
        <v>1</v>
      </c>
      <c r="M68" s="20">
        <v>1</v>
      </c>
      <c r="N68" s="20">
        <v>1</v>
      </c>
      <c r="O68" s="20">
        <v>1</v>
      </c>
      <c r="P68" s="2">
        <v>8</v>
      </c>
      <c r="Q68" s="2">
        <v>0</v>
      </c>
      <c r="R68" s="13">
        <v>20</v>
      </c>
      <c r="S68" s="13">
        <v>14</v>
      </c>
      <c r="T68" s="27">
        <v>110.7</v>
      </c>
      <c r="U68" s="27">
        <v>18</v>
      </c>
      <c r="V68" s="16"/>
      <c r="W68" s="28">
        <v>48.005099999999999</v>
      </c>
      <c r="X68" s="28">
        <v>24.137699999999999</v>
      </c>
      <c r="Y68" s="27">
        <v>1.306</v>
      </c>
      <c r="Z68" s="37">
        <f t="shared" si="8"/>
        <v>1306</v>
      </c>
      <c r="AA68" s="14">
        <v>6.2</v>
      </c>
      <c r="AB68" s="14">
        <v>108</v>
      </c>
      <c r="AC68" s="14">
        <v>23.7</v>
      </c>
      <c r="AD68" s="3">
        <f t="shared" si="6"/>
        <v>6.3199999999999994</v>
      </c>
      <c r="AE68" s="32"/>
      <c r="AF68" s="32">
        <v>38.299999999999997</v>
      </c>
      <c r="AG68" s="32">
        <v>18.71</v>
      </c>
      <c r="AH68" s="44">
        <v>0.48799999999999999</v>
      </c>
      <c r="AI68" s="46">
        <v>53</v>
      </c>
      <c r="AJ68" s="53">
        <v>477.94669566152328</v>
      </c>
      <c r="AK68" s="49"/>
      <c r="AL68" s="53">
        <v>653.58546633537549</v>
      </c>
    </row>
    <row r="69" spans="1:38" customFormat="1" x14ac:dyDescent="0.3">
      <c r="A69" s="12" t="s">
        <v>59</v>
      </c>
      <c r="B69" s="20" t="str">
        <f t="shared" si="7"/>
        <v>ruim</v>
      </c>
      <c r="C69" s="51">
        <v>9</v>
      </c>
      <c r="D69" s="20">
        <v>0</v>
      </c>
      <c r="E69" s="20">
        <v>1</v>
      </c>
      <c r="F69" s="20">
        <v>1</v>
      </c>
      <c r="G69" s="20">
        <v>0</v>
      </c>
      <c r="H69" s="20">
        <v>0</v>
      </c>
      <c r="I69" s="20">
        <v>0</v>
      </c>
      <c r="J69" s="20">
        <v>0</v>
      </c>
      <c r="K69" s="20">
        <v>1</v>
      </c>
      <c r="L69" s="20">
        <v>1</v>
      </c>
      <c r="M69" s="20">
        <v>0</v>
      </c>
      <c r="N69" s="20">
        <v>0</v>
      </c>
      <c r="O69" s="20">
        <v>0</v>
      </c>
      <c r="P69" s="2">
        <v>38</v>
      </c>
      <c r="Q69" s="2">
        <v>63</v>
      </c>
      <c r="R69" s="13">
        <v>13</v>
      </c>
      <c r="S69" s="13">
        <v>9</v>
      </c>
      <c r="T69" s="2">
        <v>110</v>
      </c>
      <c r="U69" s="3">
        <v>16</v>
      </c>
      <c r="V69" s="22">
        <v>41.776000000000003</v>
      </c>
      <c r="W69" s="22">
        <v>40.131999999999998</v>
      </c>
      <c r="X69" s="22">
        <v>18.305</v>
      </c>
      <c r="Y69" s="2">
        <v>1.056</v>
      </c>
      <c r="Z69" s="37">
        <f t="shared" si="8"/>
        <v>1056</v>
      </c>
      <c r="AA69" s="2">
        <v>8.1</v>
      </c>
      <c r="AB69" s="2">
        <v>127</v>
      </c>
      <c r="AC69" s="2">
        <v>7.5</v>
      </c>
      <c r="AD69" s="3">
        <f t="shared" si="6"/>
        <v>2.3518518518518516</v>
      </c>
      <c r="AE69" s="32">
        <v>-1</v>
      </c>
      <c r="AF69" s="32">
        <v>36.4</v>
      </c>
      <c r="AG69" s="32">
        <v>17.100000000000001</v>
      </c>
      <c r="AH69" s="44">
        <v>0.47</v>
      </c>
      <c r="AI69" s="46">
        <v>47.7</v>
      </c>
      <c r="AJ69" s="53">
        <v>72.75</v>
      </c>
      <c r="AK69" s="53">
        <v>12.895</v>
      </c>
      <c r="AL69" s="53">
        <v>1280</v>
      </c>
    </row>
    <row r="70" spans="1:38" customFormat="1" x14ac:dyDescent="0.3">
      <c r="A70" s="12" t="s">
        <v>60</v>
      </c>
      <c r="B70" s="48" t="str">
        <f t="shared" si="7"/>
        <v>ruim</v>
      </c>
      <c r="C70" s="51">
        <v>9</v>
      </c>
      <c r="D70" s="48">
        <v>0</v>
      </c>
      <c r="E70" s="48">
        <v>1</v>
      </c>
      <c r="F70" s="48">
        <v>1</v>
      </c>
      <c r="G70" s="48">
        <v>0</v>
      </c>
      <c r="H70" s="48">
        <v>0</v>
      </c>
      <c r="I70" s="48">
        <v>1</v>
      </c>
      <c r="J70" s="48">
        <v>1</v>
      </c>
      <c r="K70" s="48">
        <v>1</v>
      </c>
      <c r="L70" s="48">
        <v>1</v>
      </c>
      <c r="M70" s="48">
        <v>1</v>
      </c>
      <c r="N70" s="48">
        <v>0</v>
      </c>
      <c r="O70" s="48">
        <v>0</v>
      </c>
      <c r="P70" s="2">
        <v>20</v>
      </c>
      <c r="Q70" s="2">
        <v>31</v>
      </c>
      <c r="R70" s="13">
        <v>16</v>
      </c>
      <c r="S70" s="13">
        <v>8</v>
      </c>
      <c r="T70" s="2">
        <v>115</v>
      </c>
      <c r="U70" s="2">
        <v>16</v>
      </c>
      <c r="V70" s="22">
        <v>45.585999999999999</v>
      </c>
      <c r="W70" s="22">
        <v>48.887900000000002</v>
      </c>
      <c r="X70" s="22">
        <v>25.6479</v>
      </c>
      <c r="Y70" s="2">
        <v>1.613</v>
      </c>
      <c r="Z70" s="37">
        <f t="shared" si="8"/>
        <v>1613</v>
      </c>
      <c r="AA70" s="2">
        <v>7.5</v>
      </c>
      <c r="AB70" s="2">
        <v>140</v>
      </c>
      <c r="AC70" s="2">
        <v>20</v>
      </c>
      <c r="AD70" s="3">
        <f t="shared" si="6"/>
        <v>6.9135802469135799</v>
      </c>
      <c r="AE70" s="32">
        <v>-10.1</v>
      </c>
      <c r="AF70" s="32">
        <v>41.1</v>
      </c>
      <c r="AG70" s="32">
        <v>19.940999999999999</v>
      </c>
      <c r="AH70" s="44">
        <v>0.48499999999999999</v>
      </c>
      <c r="AI70" s="46">
        <v>50.7</v>
      </c>
      <c r="AJ70" s="53">
        <v>193.23514349132159</v>
      </c>
      <c r="AK70" s="53">
        <v>26.58499999999999</v>
      </c>
      <c r="AL70" s="53">
        <v>864</v>
      </c>
    </row>
    <row r="71" spans="1:38" customFormat="1" x14ac:dyDescent="0.3">
      <c r="A71" s="12" t="s">
        <v>61</v>
      </c>
      <c r="B71" s="20" t="str">
        <f t="shared" si="7"/>
        <v>ruim</v>
      </c>
      <c r="C71" s="51">
        <v>8</v>
      </c>
      <c r="D71" s="48">
        <v>0</v>
      </c>
      <c r="E71" s="20">
        <v>1</v>
      </c>
      <c r="F71" s="20">
        <v>1</v>
      </c>
      <c r="G71" s="20">
        <v>0</v>
      </c>
      <c r="H71" s="20">
        <v>0</v>
      </c>
      <c r="I71" s="20">
        <v>1</v>
      </c>
      <c r="J71" s="20">
        <v>0</v>
      </c>
      <c r="K71" s="20">
        <v>1</v>
      </c>
      <c r="L71" s="20">
        <v>1</v>
      </c>
      <c r="M71" s="20">
        <v>1</v>
      </c>
      <c r="N71" s="20">
        <v>0</v>
      </c>
      <c r="O71" s="20">
        <v>0</v>
      </c>
      <c r="P71" s="2">
        <v>3</v>
      </c>
      <c r="Q71" s="2">
        <v>25</v>
      </c>
      <c r="R71" s="13">
        <v>6</v>
      </c>
      <c r="S71" s="13">
        <v>4</v>
      </c>
      <c r="T71" s="17">
        <v>116</v>
      </c>
      <c r="U71" s="17">
        <v>14</v>
      </c>
      <c r="V71" s="18">
        <v>38.67</v>
      </c>
      <c r="W71" s="18">
        <v>44.927300000000002</v>
      </c>
      <c r="X71" s="18">
        <v>22.706299999999999</v>
      </c>
      <c r="Y71" s="17">
        <v>1.075</v>
      </c>
      <c r="Z71" s="37">
        <f t="shared" si="8"/>
        <v>1075</v>
      </c>
      <c r="AA71" s="19">
        <v>10.199999999999999</v>
      </c>
      <c r="AB71" s="19">
        <v>209</v>
      </c>
      <c r="AC71" s="25"/>
      <c r="AD71" s="3"/>
      <c r="AE71" s="32">
        <v>-2.7</v>
      </c>
      <c r="AF71" s="32">
        <v>42.4</v>
      </c>
      <c r="AG71" s="32">
        <v>14.794</v>
      </c>
      <c r="AH71" s="44">
        <v>0.34899999999999998</v>
      </c>
      <c r="AI71" s="46">
        <v>52.7</v>
      </c>
      <c r="AJ71" s="49"/>
      <c r="AK71" s="49"/>
      <c r="AL71" s="49"/>
    </row>
    <row r="72" spans="1:38" customFormat="1" x14ac:dyDescent="0.3">
      <c r="A72" s="12" t="s">
        <v>21</v>
      </c>
      <c r="B72" s="20" t="str">
        <f t="shared" si="7"/>
        <v>bom</v>
      </c>
      <c r="C72" s="51">
        <v>4</v>
      </c>
      <c r="D72" s="20">
        <v>0</v>
      </c>
      <c r="E72" s="20">
        <v>0</v>
      </c>
      <c r="F72" s="20">
        <v>1</v>
      </c>
      <c r="G72" s="20">
        <v>0</v>
      </c>
      <c r="H72" s="20">
        <v>0</v>
      </c>
      <c r="I72" s="20">
        <v>1</v>
      </c>
      <c r="J72" s="20">
        <v>1</v>
      </c>
      <c r="K72" s="20">
        <v>1</v>
      </c>
      <c r="L72" s="20">
        <v>0</v>
      </c>
      <c r="M72" s="20">
        <v>1</v>
      </c>
      <c r="N72" s="20">
        <v>1</v>
      </c>
      <c r="O72" s="20">
        <v>0</v>
      </c>
      <c r="P72" s="2">
        <v>96</v>
      </c>
      <c r="Q72" s="2">
        <v>69</v>
      </c>
      <c r="R72" s="13">
        <v>1</v>
      </c>
      <c r="S72" s="13">
        <v>0</v>
      </c>
      <c r="T72" s="2">
        <v>102.5</v>
      </c>
      <c r="U72" s="3">
        <v>16</v>
      </c>
      <c r="V72" s="22">
        <v>36.452199999999998</v>
      </c>
      <c r="W72" s="22">
        <v>37.948</v>
      </c>
      <c r="X72" s="22">
        <v>19.634</v>
      </c>
      <c r="Y72" s="2">
        <v>1.0660000000000001</v>
      </c>
      <c r="Z72" s="37">
        <f t="shared" si="8"/>
        <v>1066</v>
      </c>
      <c r="AA72" s="2">
        <v>5.6</v>
      </c>
      <c r="AB72" s="2">
        <v>92</v>
      </c>
      <c r="AC72" s="2">
        <v>11.6</v>
      </c>
      <c r="AD72" s="3">
        <f>AB72*AC72/405</f>
        <v>2.6350617283950619</v>
      </c>
      <c r="AE72" s="32">
        <v>-0.8</v>
      </c>
      <c r="AF72" s="32">
        <v>30.5</v>
      </c>
      <c r="AG72" s="32">
        <v>15.391</v>
      </c>
      <c r="AH72" s="44">
        <v>0.505</v>
      </c>
      <c r="AI72" s="46">
        <v>49.7</v>
      </c>
      <c r="AJ72" s="53">
        <v>435.24999999999989</v>
      </c>
      <c r="AK72" s="53">
        <v>42.64</v>
      </c>
      <c r="AL72" s="53">
        <v>630</v>
      </c>
    </row>
    <row r="73" spans="1:38" customFormat="1" x14ac:dyDescent="0.3">
      <c r="A73" s="12" t="s">
        <v>91</v>
      </c>
      <c r="B73" s="48" t="str">
        <f t="shared" ref="B73:B106" si="9">IF(C73&gt;5,"ruim","bom")</f>
        <v>ruim</v>
      </c>
      <c r="C73" s="51">
        <v>7</v>
      </c>
      <c r="D73" s="20">
        <v>0</v>
      </c>
      <c r="E73" s="48">
        <v>0</v>
      </c>
      <c r="F73" s="48">
        <v>1</v>
      </c>
      <c r="G73" s="48">
        <v>0</v>
      </c>
      <c r="H73" s="48">
        <v>0</v>
      </c>
      <c r="I73" s="48">
        <v>0</v>
      </c>
      <c r="J73" s="48">
        <v>1</v>
      </c>
      <c r="K73" s="48">
        <v>1</v>
      </c>
      <c r="L73" s="48">
        <v>0</v>
      </c>
      <c r="M73" s="48">
        <v>0</v>
      </c>
      <c r="N73" s="48">
        <v>1</v>
      </c>
      <c r="O73" s="48">
        <v>0</v>
      </c>
      <c r="P73" s="2">
        <v>41</v>
      </c>
      <c r="Q73" s="2">
        <v>62</v>
      </c>
      <c r="R73" s="13">
        <v>7</v>
      </c>
      <c r="S73" s="13">
        <v>3</v>
      </c>
      <c r="T73" s="2">
        <v>105.7</v>
      </c>
      <c r="U73" s="2">
        <v>19</v>
      </c>
      <c r="V73" s="22">
        <v>37.465000000000003</v>
      </c>
      <c r="W73" s="22">
        <v>45.506500000000003</v>
      </c>
      <c r="X73" s="22">
        <v>19.202999999999999</v>
      </c>
      <c r="Y73" s="2">
        <v>1.361</v>
      </c>
      <c r="Z73" s="37">
        <f t="shared" si="8"/>
        <v>1361</v>
      </c>
      <c r="AA73" s="2">
        <v>6</v>
      </c>
      <c r="AB73" s="2">
        <v>119</v>
      </c>
      <c r="AC73" s="2">
        <v>20.399999999999999</v>
      </c>
      <c r="AD73" s="3">
        <f t="shared" ref="AD73:AD80" si="10">AB73*AC73/405</f>
        <v>5.9940740740740734</v>
      </c>
      <c r="AE73" s="32">
        <v>-1.2</v>
      </c>
      <c r="AF73" s="32">
        <v>38</v>
      </c>
      <c r="AG73" s="32">
        <v>15.273999999999999</v>
      </c>
      <c r="AH73" s="44">
        <v>0.40200000000000002</v>
      </c>
      <c r="AI73" s="46">
        <v>53.5</v>
      </c>
      <c r="AJ73" s="53">
        <v>687.34999999999991</v>
      </c>
      <c r="AK73" s="53">
        <v>56.819999999999993</v>
      </c>
      <c r="AL73" s="53">
        <v>736</v>
      </c>
    </row>
    <row r="74" spans="1:38" customFormat="1" x14ac:dyDescent="0.3">
      <c r="A74" s="12" t="s">
        <v>92</v>
      </c>
      <c r="B74" s="20" t="str">
        <f t="shared" si="9"/>
        <v>ruim</v>
      </c>
      <c r="C74" s="51">
        <v>6</v>
      </c>
      <c r="D74" s="48"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1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">
        <v>82</v>
      </c>
      <c r="Q74" s="2">
        <v>88</v>
      </c>
      <c r="R74" s="13">
        <v>9</v>
      </c>
      <c r="S74" s="13">
        <v>1</v>
      </c>
      <c r="T74" s="2">
        <v>111.7</v>
      </c>
      <c r="U74" s="2">
        <v>16</v>
      </c>
      <c r="V74" s="22">
        <v>41.795400000000001</v>
      </c>
      <c r="W74" s="22">
        <v>43.216900000000003</v>
      </c>
      <c r="X74" s="22">
        <v>23.17</v>
      </c>
      <c r="Y74" s="2">
        <v>1.573</v>
      </c>
      <c r="Z74" s="37">
        <f t="shared" si="8"/>
        <v>1573</v>
      </c>
      <c r="AA74" s="2">
        <v>5.7</v>
      </c>
      <c r="AB74" s="2">
        <v>85</v>
      </c>
      <c r="AC74" s="2">
        <v>6</v>
      </c>
      <c r="AD74" s="3">
        <f t="shared" si="10"/>
        <v>1.2592592592592593</v>
      </c>
      <c r="AE74" s="32">
        <v>-2.4</v>
      </c>
      <c r="AF74" s="32">
        <v>34.69</v>
      </c>
      <c r="AG74" s="32">
        <v>17.72</v>
      </c>
      <c r="AH74" s="44">
        <v>0.51100000000000001</v>
      </c>
      <c r="AI74" s="46">
        <v>49.7</v>
      </c>
      <c r="AJ74" s="53">
        <v>210.5</v>
      </c>
      <c r="AK74" s="53">
        <v>36.735000000000007</v>
      </c>
      <c r="AL74" s="53">
        <v>441.5</v>
      </c>
    </row>
    <row r="75" spans="1:38" customFormat="1" x14ac:dyDescent="0.3">
      <c r="A75" s="12" t="s">
        <v>63</v>
      </c>
      <c r="B75" s="20" t="str">
        <f t="shared" si="9"/>
        <v>bom</v>
      </c>
      <c r="C75" s="51">
        <v>5</v>
      </c>
      <c r="D75" s="20">
        <v>0</v>
      </c>
      <c r="E75" s="20">
        <v>1</v>
      </c>
      <c r="F75" s="20">
        <v>1</v>
      </c>
      <c r="G75" s="20">
        <v>0</v>
      </c>
      <c r="H75" s="20">
        <v>0</v>
      </c>
      <c r="I75" s="20">
        <v>1</v>
      </c>
      <c r="J75" s="20">
        <v>1</v>
      </c>
      <c r="K75" s="20">
        <v>1</v>
      </c>
      <c r="L75" s="20">
        <v>1</v>
      </c>
      <c r="M75" s="20">
        <v>1</v>
      </c>
      <c r="N75" s="20">
        <v>1</v>
      </c>
      <c r="O75" s="20">
        <v>0</v>
      </c>
      <c r="P75" s="2">
        <v>30</v>
      </c>
      <c r="Q75" s="2">
        <v>80</v>
      </c>
      <c r="R75" s="13">
        <v>8</v>
      </c>
      <c r="S75" s="13">
        <v>5</v>
      </c>
      <c r="T75" s="2">
        <v>98</v>
      </c>
      <c r="U75" s="3">
        <v>6</v>
      </c>
      <c r="V75" s="22">
        <v>36.701999999999998</v>
      </c>
      <c r="W75" s="22">
        <v>36.576000000000001</v>
      </c>
      <c r="X75" s="22">
        <v>17.783000000000001</v>
      </c>
      <c r="Y75" s="2">
        <v>0.90900000000000003</v>
      </c>
      <c r="Z75" s="37">
        <f t="shared" si="8"/>
        <v>909</v>
      </c>
      <c r="AA75" s="2">
        <v>5.7</v>
      </c>
      <c r="AB75" s="2">
        <v>116</v>
      </c>
      <c r="AC75" s="2">
        <v>7.2</v>
      </c>
      <c r="AD75" s="3">
        <f t="shared" si="10"/>
        <v>2.0622222222222222</v>
      </c>
      <c r="AE75" s="32">
        <v>-5.5</v>
      </c>
      <c r="AF75" s="32">
        <v>31.7</v>
      </c>
      <c r="AG75" s="32">
        <v>15.260999999999999</v>
      </c>
      <c r="AH75" s="44">
        <v>0.48099999999999998</v>
      </c>
      <c r="AI75" s="46">
        <v>48.4</v>
      </c>
      <c r="AJ75" s="53">
        <v>318.8</v>
      </c>
      <c r="AK75" s="53">
        <v>33.325000000000003</v>
      </c>
      <c r="AL75" s="53">
        <v>726.5</v>
      </c>
    </row>
    <row r="76" spans="1:38" customFormat="1" x14ac:dyDescent="0.3">
      <c r="A76" s="12" t="s">
        <v>22</v>
      </c>
      <c r="B76" s="48" t="str">
        <f t="shared" si="9"/>
        <v>ruim</v>
      </c>
      <c r="C76" s="51">
        <v>12</v>
      </c>
      <c r="D76" s="20">
        <v>0</v>
      </c>
      <c r="E76" s="48">
        <v>0</v>
      </c>
      <c r="F76" s="48">
        <v>1</v>
      </c>
      <c r="G76" s="48">
        <v>0</v>
      </c>
      <c r="H76" s="48">
        <v>0</v>
      </c>
      <c r="I76" s="48">
        <v>1</v>
      </c>
      <c r="J76" s="48">
        <v>1</v>
      </c>
      <c r="K76" s="48">
        <v>1</v>
      </c>
      <c r="L76" s="48">
        <v>0</v>
      </c>
      <c r="M76" s="48">
        <v>1</v>
      </c>
      <c r="N76" s="48">
        <v>0</v>
      </c>
      <c r="O76" s="48">
        <v>0</v>
      </c>
      <c r="P76" s="32"/>
      <c r="Q76" s="32"/>
      <c r="R76" s="13">
        <v>5</v>
      </c>
      <c r="S76" s="13">
        <v>3</v>
      </c>
      <c r="T76" s="2">
        <v>103.9</v>
      </c>
      <c r="U76" s="2">
        <v>17</v>
      </c>
      <c r="V76" s="22">
        <v>33.991900000000001</v>
      </c>
      <c r="W76" s="22">
        <v>35.478700000000003</v>
      </c>
      <c r="X76" s="22">
        <v>18.188400000000001</v>
      </c>
      <c r="Y76" s="2">
        <v>1.0469999999999999</v>
      </c>
      <c r="Z76" s="37">
        <f t="shared" si="8"/>
        <v>1047</v>
      </c>
      <c r="AA76" s="2">
        <v>6.1</v>
      </c>
      <c r="AB76" s="2">
        <v>116</v>
      </c>
      <c r="AC76" s="2">
        <v>9</v>
      </c>
      <c r="AD76" s="3">
        <f t="shared" si="10"/>
        <v>2.5777777777777779</v>
      </c>
      <c r="AE76" s="32">
        <v>-3.2</v>
      </c>
      <c r="AF76" s="32">
        <v>33.4</v>
      </c>
      <c r="AG76" s="32">
        <v>13.22</v>
      </c>
      <c r="AH76" s="44">
        <v>0.39600000000000002</v>
      </c>
      <c r="AI76" s="46">
        <v>49.9</v>
      </c>
      <c r="AJ76" s="53">
        <v>172.5</v>
      </c>
      <c r="AK76" s="53">
        <v>31.620000000000012</v>
      </c>
      <c r="AL76" s="53">
        <v>789.5</v>
      </c>
    </row>
    <row r="77" spans="1:38" customFormat="1" x14ac:dyDescent="0.3">
      <c r="A77" s="12" t="s">
        <v>23</v>
      </c>
      <c r="B77" s="20" t="str">
        <f t="shared" si="9"/>
        <v>bom</v>
      </c>
      <c r="C77" s="51">
        <v>4</v>
      </c>
      <c r="D77" s="48">
        <v>0</v>
      </c>
      <c r="E77" s="20">
        <v>0</v>
      </c>
      <c r="F77" s="20">
        <v>1</v>
      </c>
      <c r="G77" s="20">
        <v>0</v>
      </c>
      <c r="H77" s="20">
        <v>0</v>
      </c>
      <c r="I77" s="20">
        <v>0</v>
      </c>
      <c r="J77" s="20">
        <v>1</v>
      </c>
      <c r="K77" s="20">
        <v>1</v>
      </c>
      <c r="L77" s="20">
        <v>0</v>
      </c>
      <c r="M77" s="20">
        <v>0</v>
      </c>
      <c r="N77" s="20">
        <v>1</v>
      </c>
      <c r="O77" s="20">
        <v>0</v>
      </c>
      <c r="P77" s="2">
        <v>78</v>
      </c>
      <c r="Q77" s="2">
        <v>58</v>
      </c>
      <c r="R77" s="13">
        <v>3</v>
      </c>
      <c r="S77" s="13">
        <v>4</v>
      </c>
      <c r="T77" s="2">
        <v>111.5</v>
      </c>
      <c r="U77" s="2">
        <v>16</v>
      </c>
      <c r="V77" s="22">
        <v>37.313000000000002</v>
      </c>
      <c r="W77" s="22">
        <v>33.252499999999998</v>
      </c>
      <c r="X77" s="22">
        <v>20.2713</v>
      </c>
      <c r="Y77" s="2">
        <v>1.395</v>
      </c>
      <c r="Z77" s="37">
        <f t="shared" si="8"/>
        <v>1395</v>
      </c>
      <c r="AA77" s="2">
        <v>6</v>
      </c>
      <c r="AB77" s="2">
        <v>108</v>
      </c>
      <c r="AC77" s="2">
        <v>43.6</v>
      </c>
      <c r="AD77" s="3">
        <f t="shared" si="10"/>
        <v>11.626666666666667</v>
      </c>
      <c r="AE77" s="32">
        <v>0.7</v>
      </c>
      <c r="AF77" s="32">
        <v>30.8</v>
      </c>
      <c r="AG77" s="32">
        <v>14.042999999999999</v>
      </c>
      <c r="AH77" s="44">
        <v>0.45600000000000002</v>
      </c>
      <c r="AI77" s="46">
        <v>46.2</v>
      </c>
      <c r="AJ77" s="53">
        <v>1106.921822369608</v>
      </c>
      <c r="AK77" s="53">
        <v>84.729999999999961</v>
      </c>
      <c r="AL77" s="53">
        <v>927</v>
      </c>
    </row>
    <row r="78" spans="1:38" customFormat="1" x14ac:dyDescent="0.3">
      <c r="A78" s="12" t="s">
        <v>93</v>
      </c>
      <c r="B78" s="20" t="str">
        <f t="shared" si="9"/>
        <v>bom</v>
      </c>
      <c r="C78" s="51">
        <v>2</v>
      </c>
      <c r="D78" s="48">
        <v>0</v>
      </c>
      <c r="E78" s="20">
        <v>0</v>
      </c>
      <c r="F78" s="20">
        <v>0</v>
      </c>
      <c r="G78" s="20">
        <v>0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</v>
      </c>
      <c r="N78" s="20">
        <v>0</v>
      </c>
      <c r="O78" s="20">
        <v>0</v>
      </c>
      <c r="P78" s="2">
        <v>66</v>
      </c>
      <c r="Q78" s="2">
        <v>83</v>
      </c>
      <c r="R78" s="13">
        <v>1</v>
      </c>
      <c r="S78" s="13">
        <v>0</v>
      </c>
      <c r="T78" s="2">
        <v>128</v>
      </c>
      <c r="U78" s="2">
        <v>16</v>
      </c>
      <c r="V78" s="22">
        <v>44.1</v>
      </c>
      <c r="W78" s="22">
        <v>50.872</v>
      </c>
      <c r="X78" s="22">
        <v>25.701000000000001</v>
      </c>
      <c r="Y78" s="2">
        <v>1.738</v>
      </c>
      <c r="Z78" s="37">
        <f t="shared" si="8"/>
        <v>1738</v>
      </c>
      <c r="AA78" s="2">
        <v>5.8</v>
      </c>
      <c r="AB78" s="2">
        <v>83</v>
      </c>
      <c r="AC78" s="2">
        <v>12</v>
      </c>
      <c r="AD78" s="3">
        <f t="shared" si="10"/>
        <v>2.4592592592592593</v>
      </c>
      <c r="AE78" s="32">
        <v>-7.4</v>
      </c>
      <c r="AF78" s="32">
        <v>42.33</v>
      </c>
      <c r="AG78" s="32">
        <v>20.178999999999998</v>
      </c>
      <c r="AH78" s="44">
        <v>0.47699999999999998</v>
      </c>
      <c r="AI78" s="46">
        <v>52.5</v>
      </c>
      <c r="AJ78" s="53">
        <v>223.99276786953561</v>
      </c>
      <c r="AK78" s="53">
        <v>28.47000000000001</v>
      </c>
      <c r="AL78" s="53">
        <v>578</v>
      </c>
    </row>
    <row r="79" spans="1:38" customFormat="1" x14ac:dyDescent="0.3">
      <c r="A79" s="12" t="s">
        <v>64</v>
      </c>
      <c r="B79" s="48" t="str">
        <f t="shared" si="9"/>
        <v>bom</v>
      </c>
      <c r="C79" s="51">
        <v>5</v>
      </c>
      <c r="D79" s="20">
        <v>1</v>
      </c>
      <c r="E79" s="48">
        <v>1</v>
      </c>
      <c r="F79" s="48">
        <v>1</v>
      </c>
      <c r="G79" s="48">
        <v>0</v>
      </c>
      <c r="H79" s="48">
        <v>0</v>
      </c>
      <c r="I79" s="48">
        <v>1</v>
      </c>
      <c r="J79" s="48">
        <v>0</v>
      </c>
      <c r="K79" s="48">
        <v>1</v>
      </c>
      <c r="L79" s="48">
        <v>1</v>
      </c>
      <c r="M79" s="48">
        <v>1</v>
      </c>
      <c r="N79" s="48">
        <v>0</v>
      </c>
      <c r="O79" s="48">
        <v>0</v>
      </c>
      <c r="P79" s="2">
        <v>64</v>
      </c>
      <c r="Q79" s="2">
        <v>69</v>
      </c>
      <c r="R79" s="13">
        <v>4</v>
      </c>
      <c r="S79" s="13">
        <v>4</v>
      </c>
      <c r="T79" s="14">
        <v>112.9</v>
      </c>
      <c r="U79" s="14">
        <v>28</v>
      </c>
      <c r="V79" s="15">
        <v>55.290999999999997</v>
      </c>
      <c r="W79" s="15">
        <v>34.625999999999998</v>
      </c>
      <c r="X79" s="15">
        <v>19.591999999999999</v>
      </c>
      <c r="Y79" s="14">
        <v>1.1839999999999999</v>
      </c>
      <c r="Z79" s="37">
        <f t="shared" si="8"/>
        <v>1184</v>
      </c>
      <c r="AA79" s="14" t="s">
        <v>105</v>
      </c>
      <c r="AB79" s="14">
        <v>146</v>
      </c>
      <c r="AC79" s="14">
        <v>12.5</v>
      </c>
      <c r="AD79" s="3">
        <f t="shared" si="10"/>
        <v>4.5061728395061724</v>
      </c>
      <c r="AE79" s="32"/>
      <c r="AF79" s="32">
        <v>31.8</v>
      </c>
      <c r="AG79" s="32">
        <v>24.524999999999999</v>
      </c>
      <c r="AH79" s="44">
        <v>0.77100000000000002</v>
      </c>
      <c r="AI79" s="46">
        <v>37.4</v>
      </c>
      <c r="AJ79" s="53">
        <v>150.69999999999999</v>
      </c>
      <c r="AK79" s="53">
        <v>26.129999999999988</v>
      </c>
      <c r="AL79" s="53">
        <v>1053</v>
      </c>
    </row>
    <row r="80" spans="1:38" customFormat="1" x14ac:dyDescent="0.3">
      <c r="A80" s="12" t="s">
        <v>94</v>
      </c>
      <c r="B80" s="20" t="str">
        <f t="shared" si="9"/>
        <v>ruim</v>
      </c>
      <c r="C80" s="51">
        <v>10</v>
      </c>
      <c r="D80" s="20">
        <v>0</v>
      </c>
      <c r="E80" s="20">
        <v>1</v>
      </c>
      <c r="F80" s="20">
        <v>0</v>
      </c>
      <c r="G80" s="20">
        <v>1</v>
      </c>
      <c r="H80" s="20">
        <v>0</v>
      </c>
      <c r="I80" s="20">
        <v>1</v>
      </c>
      <c r="J80" s="20">
        <v>1</v>
      </c>
      <c r="K80" s="20">
        <v>0</v>
      </c>
      <c r="L80" s="20">
        <v>1</v>
      </c>
      <c r="M80" s="20">
        <v>1</v>
      </c>
      <c r="N80" s="20">
        <v>0</v>
      </c>
      <c r="O80" s="20">
        <v>1</v>
      </c>
      <c r="P80" s="2">
        <v>75</v>
      </c>
      <c r="Q80" s="2">
        <v>81</v>
      </c>
      <c r="R80" s="13">
        <v>13</v>
      </c>
      <c r="S80" s="13">
        <v>9</v>
      </c>
      <c r="T80" s="27">
        <v>101.1</v>
      </c>
      <c r="U80" s="27">
        <v>17</v>
      </c>
      <c r="V80" s="28">
        <v>34.054000000000002</v>
      </c>
      <c r="W80" s="28">
        <v>33.293999999999997</v>
      </c>
      <c r="X80" s="28">
        <v>17.651</v>
      </c>
      <c r="Y80" s="27">
        <v>0.92500000000000004</v>
      </c>
      <c r="Z80" s="37">
        <f t="shared" si="8"/>
        <v>925</v>
      </c>
      <c r="AA80" s="14">
        <v>6.8</v>
      </c>
      <c r="AB80" s="14">
        <v>132</v>
      </c>
      <c r="AC80" s="14">
        <v>19.2</v>
      </c>
      <c r="AD80" s="3">
        <f t="shared" si="10"/>
        <v>6.2577777777777781</v>
      </c>
      <c r="AE80" s="32">
        <v>-2.2000000000000002</v>
      </c>
      <c r="AF80" s="32">
        <v>32</v>
      </c>
      <c r="AG80" s="32">
        <v>13.9</v>
      </c>
      <c r="AH80" s="44">
        <v>0.434</v>
      </c>
      <c r="AI80" s="46">
        <v>48.3</v>
      </c>
      <c r="AJ80" s="53">
        <v>500.20606903346999</v>
      </c>
      <c r="AK80" s="53">
        <v>32.197768906796881</v>
      </c>
      <c r="AL80" s="53">
        <v>921</v>
      </c>
    </row>
    <row r="81" spans="1:38" customFormat="1" x14ac:dyDescent="0.3">
      <c r="A81" s="12" t="s">
        <v>65</v>
      </c>
      <c r="B81" s="20" t="str">
        <f t="shared" si="9"/>
        <v>bom</v>
      </c>
      <c r="C81" s="51">
        <v>4</v>
      </c>
      <c r="D81" s="48">
        <v>0</v>
      </c>
      <c r="E81" s="20">
        <v>0</v>
      </c>
      <c r="F81" s="20">
        <v>1</v>
      </c>
      <c r="G81" s="20">
        <v>0</v>
      </c>
      <c r="H81" s="20">
        <v>0</v>
      </c>
      <c r="I81" s="20">
        <v>1</v>
      </c>
      <c r="J81" s="20">
        <v>1</v>
      </c>
      <c r="K81" s="20">
        <v>1</v>
      </c>
      <c r="L81" s="20">
        <v>0</v>
      </c>
      <c r="M81" s="20">
        <v>1</v>
      </c>
      <c r="N81" s="20">
        <v>0</v>
      </c>
      <c r="O81" s="20">
        <v>0</v>
      </c>
      <c r="P81" s="2">
        <v>62</v>
      </c>
      <c r="Q81" s="2">
        <v>76</v>
      </c>
      <c r="R81" s="13">
        <v>5</v>
      </c>
      <c r="S81" s="13">
        <v>1</v>
      </c>
      <c r="T81" s="2">
        <v>117</v>
      </c>
      <c r="U81" s="3">
        <v>19</v>
      </c>
      <c r="V81" s="22">
        <v>46.195</v>
      </c>
      <c r="W81" s="22">
        <v>49.061500000000002</v>
      </c>
      <c r="X81" s="22">
        <v>24.056000000000001</v>
      </c>
      <c r="Y81" s="2">
        <v>1.3480000000000001</v>
      </c>
      <c r="Z81" s="37">
        <f t="shared" si="8"/>
        <v>1348</v>
      </c>
      <c r="AA81" s="2">
        <v>5.9</v>
      </c>
      <c r="AB81" s="2">
        <v>98</v>
      </c>
      <c r="AC81" s="4"/>
      <c r="AD81" s="3"/>
      <c r="AE81" s="32">
        <v>-6.2</v>
      </c>
      <c r="AF81" s="32">
        <v>40.799999999999997</v>
      </c>
      <c r="AG81" s="32">
        <v>20.065999999999999</v>
      </c>
      <c r="AH81" s="44">
        <v>0.49199999999999999</v>
      </c>
      <c r="AI81" s="46">
        <v>50.3</v>
      </c>
      <c r="AJ81" s="53">
        <v>371.6496818599453</v>
      </c>
      <c r="AK81" s="53">
        <v>46.08</v>
      </c>
      <c r="AL81" s="53">
        <v>615</v>
      </c>
    </row>
    <row r="82" spans="1:38" customFormat="1" x14ac:dyDescent="0.3">
      <c r="A82" s="12" t="s">
        <v>95</v>
      </c>
      <c r="B82" s="48" t="str">
        <f t="shared" si="9"/>
        <v>bom</v>
      </c>
      <c r="C82" s="51">
        <v>3</v>
      </c>
      <c r="D82" s="20">
        <v>1</v>
      </c>
      <c r="E82" s="48">
        <v>0</v>
      </c>
      <c r="F82" s="48">
        <v>1</v>
      </c>
      <c r="G82" s="48">
        <v>0</v>
      </c>
      <c r="H82" s="48">
        <v>0</v>
      </c>
      <c r="I82" s="48">
        <v>0</v>
      </c>
      <c r="J82" s="48">
        <v>0</v>
      </c>
      <c r="K82" s="48">
        <v>1</v>
      </c>
      <c r="L82" s="48">
        <v>0</v>
      </c>
      <c r="M82" s="48">
        <v>0</v>
      </c>
      <c r="N82" s="48">
        <v>0</v>
      </c>
      <c r="O82" s="48">
        <v>0</v>
      </c>
      <c r="P82" s="2">
        <v>74</v>
      </c>
      <c r="Q82" s="2">
        <v>55</v>
      </c>
      <c r="R82" s="13">
        <v>10</v>
      </c>
      <c r="S82" s="13">
        <v>6</v>
      </c>
      <c r="T82" s="2">
        <v>116.8</v>
      </c>
      <c r="U82" s="2">
        <v>28</v>
      </c>
      <c r="V82" s="22">
        <v>57.884099999999997</v>
      </c>
      <c r="W82" s="22">
        <v>36.779499999999999</v>
      </c>
      <c r="X82" s="22">
        <v>17.354800000000001</v>
      </c>
      <c r="Y82" s="2">
        <v>1.1519999999999999</v>
      </c>
      <c r="Z82" s="37">
        <f t="shared" si="8"/>
        <v>1152</v>
      </c>
      <c r="AA82" s="2">
        <v>5.0999999999999996</v>
      </c>
      <c r="AB82" s="2">
        <v>77</v>
      </c>
      <c r="AC82" s="2">
        <v>11</v>
      </c>
      <c r="AD82" s="3">
        <f>AB82*AC82/405</f>
        <v>2.0913580246913579</v>
      </c>
      <c r="AE82" s="32">
        <v>-4.3</v>
      </c>
      <c r="AF82" s="32">
        <v>34.97</v>
      </c>
      <c r="AG82" s="32">
        <v>27.460999999999999</v>
      </c>
      <c r="AH82" s="44">
        <v>0.78500000000000003</v>
      </c>
      <c r="AI82" s="46">
        <v>37.799999999999997</v>
      </c>
      <c r="AJ82" s="53">
        <v>393.5</v>
      </c>
      <c r="AK82" s="53">
        <v>40.045000000000009</v>
      </c>
      <c r="AL82" s="53">
        <v>461</v>
      </c>
    </row>
    <row r="83" spans="1:38" customFormat="1" x14ac:dyDescent="0.3">
      <c r="A83" s="12" t="s">
        <v>24</v>
      </c>
      <c r="B83" s="20" t="str">
        <f t="shared" si="9"/>
        <v>ruim</v>
      </c>
      <c r="C83" s="51">
        <v>7</v>
      </c>
      <c r="D83" s="20">
        <v>0</v>
      </c>
      <c r="E83" s="20">
        <v>1</v>
      </c>
      <c r="F83" s="20">
        <v>1</v>
      </c>
      <c r="G83" s="20">
        <v>1</v>
      </c>
      <c r="H83" s="20">
        <v>0</v>
      </c>
      <c r="I83" s="20">
        <v>1</v>
      </c>
      <c r="J83" s="20">
        <v>0</v>
      </c>
      <c r="K83" s="20">
        <v>1</v>
      </c>
      <c r="L83" s="20">
        <v>1</v>
      </c>
      <c r="M83" s="20">
        <v>1</v>
      </c>
      <c r="N83" s="20">
        <v>0</v>
      </c>
      <c r="O83" s="20">
        <v>1</v>
      </c>
      <c r="P83" s="2">
        <v>29</v>
      </c>
      <c r="Q83" s="2">
        <v>14</v>
      </c>
      <c r="R83" s="13">
        <v>18</v>
      </c>
      <c r="S83" s="13">
        <v>12</v>
      </c>
      <c r="T83" s="14">
        <v>116.5</v>
      </c>
      <c r="U83" s="14">
        <v>17</v>
      </c>
      <c r="V83" s="15">
        <v>47.563499999999998</v>
      </c>
      <c r="W83" s="15">
        <v>52.801099999999998</v>
      </c>
      <c r="X83" s="15">
        <v>26.32</v>
      </c>
      <c r="Y83" s="14">
        <v>1.143</v>
      </c>
      <c r="Z83" s="37">
        <f t="shared" si="8"/>
        <v>1143</v>
      </c>
      <c r="AA83" s="23"/>
      <c r="AB83" s="23"/>
      <c r="AC83" s="23"/>
      <c r="AD83" s="3"/>
      <c r="AE83" s="32"/>
      <c r="AF83" s="32">
        <v>37.18</v>
      </c>
      <c r="AG83" s="32">
        <v>21.254999999999999</v>
      </c>
      <c r="AH83" s="44">
        <v>0.57199999999999995</v>
      </c>
      <c r="AI83" s="46">
        <v>51.4</v>
      </c>
      <c r="AJ83" s="49"/>
      <c r="AK83" s="49"/>
      <c r="AL83" s="49"/>
    </row>
    <row r="84" spans="1:38" customFormat="1" x14ac:dyDescent="0.3">
      <c r="A84" s="12" t="s">
        <v>96</v>
      </c>
      <c r="B84" s="20" t="str">
        <f t="shared" si="9"/>
        <v>ruim</v>
      </c>
      <c r="C84" s="51">
        <v>8</v>
      </c>
      <c r="D84" s="48">
        <v>0</v>
      </c>
      <c r="E84" s="20">
        <v>1</v>
      </c>
      <c r="F84" s="20">
        <v>0</v>
      </c>
      <c r="G84" s="20">
        <v>1</v>
      </c>
      <c r="H84" s="20">
        <v>0</v>
      </c>
      <c r="I84" s="20">
        <v>1</v>
      </c>
      <c r="J84" s="20">
        <v>1</v>
      </c>
      <c r="K84" s="20">
        <v>0</v>
      </c>
      <c r="L84" s="20">
        <v>1</v>
      </c>
      <c r="M84" s="20">
        <v>1</v>
      </c>
      <c r="N84" s="20">
        <v>0</v>
      </c>
      <c r="O84" s="20">
        <v>1</v>
      </c>
      <c r="P84" s="2">
        <v>76</v>
      </c>
      <c r="Q84" s="2">
        <v>34</v>
      </c>
      <c r="R84" s="13">
        <v>9</v>
      </c>
      <c r="S84" s="13">
        <v>3</v>
      </c>
      <c r="T84" s="17">
        <v>102.5</v>
      </c>
      <c r="U84" s="17">
        <v>14</v>
      </c>
      <c r="V84" s="18">
        <v>32.761000000000003</v>
      </c>
      <c r="W84" s="18">
        <v>27.9968</v>
      </c>
      <c r="X84" s="18">
        <v>16.690100000000001</v>
      </c>
      <c r="Y84" s="17">
        <v>0.872</v>
      </c>
      <c r="Z84" s="37">
        <f t="shared" si="8"/>
        <v>872</v>
      </c>
      <c r="AA84" s="19">
        <v>7.8</v>
      </c>
      <c r="AB84" s="19">
        <v>166</v>
      </c>
      <c r="AC84" s="19">
        <v>13.4</v>
      </c>
      <c r="AD84" s="3">
        <f t="shared" ref="AD84:AD89" si="11">AB84*AC84/405</f>
        <v>5.4923456790123462</v>
      </c>
      <c r="AE84" s="32">
        <v>-2.7</v>
      </c>
      <c r="AF84" s="32">
        <v>31.9</v>
      </c>
      <c r="AG84" s="32">
        <v>12.92</v>
      </c>
      <c r="AH84" s="44">
        <v>0.41299999999999998</v>
      </c>
      <c r="AI84" s="46">
        <v>45.1</v>
      </c>
      <c r="AJ84" s="53">
        <v>174.59950070791581</v>
      </c>
      <c r="AK84" s="53">
        <v>15.759999999999989</v>
      </c>
      <c r="AL84" s="53">
        <v>1293.5</v>
      </c>
    </row>
    <row r="85" spans="1:38" customFormat="1" x14ac:dyDescent="0.3">
      <c r="A85" s="12" t="s">
        <v>25</v>
      </c>
      <c r="B85" s="48" t="str">
        <f t="shared" si="9"/>
        <v>bom</v>
      </c>
      <c r="C85" s="51">
        <v>3</v>
      </c>
      <c r="D85" s="48">
        <v>0</v>
      </c>
      <c r="E85" s="48">
        <v>0</v>
      </c>
      <c r="F85" s="48">
        <v>0</v>
      </c>
      <c r="G85" s="48">
        <v>0</v>
      </c>
      <c r="H85" s="48">
        <v>0</v>
      </c>
      <c r="I85" s="48">
        <v>0</v>
      </c>
      <c r="J85" s="48">
        <v>1</v>
      </c>
      <c r="K85" s="48">
        <v>0</v>
      </c>
      <c r="L85" s="48">
        <v>0</v>
      </c>
      <c r="M85" s="48">
        <v>0</v>
      </c>
      <c r="N85" s="48">
        <v>0</v>
      </c>
      <c r="O85" s="48">
        <v>0</v>
      </c>
      <c r="P85" s="2">
        <v>76</v>
      </c>
      <c r="Q85" s="2">
        <v>87</v>
      </c>
      <c r="R85" s="13">
        <v>1</v>
      </c>
      <c r="S85" s="13">
        <v>2</v>
      </c>
      <c r="T85" s="2">
        <v>108</v>
      </c>
      <c r="U85" s="2">
        <v>16</v>
      </c>
      <c r="V85" s="22">
        <v>39.778399999999998</v>
      </c>
      <c r="W85" s="22">
        <v>45.328800000000001</v>
      </c>
      <c r="X85" s="22">
        <v>20.644100000000002</v>
      </c>
      <c r="Y85" s="2">
        <v>1.0529999999999999</v>
      </c>
      <c r="Z85" s="37">
        <f t="shared" si="8"/>
        <v>1053</v>
      </c>
      <c r="AA85" s="2">
        <v>5.0999999999999996</v>
      </c>
      <c r="AB85" s="2">
        <v>99</v>
      </c>
      <c r="AC85" s="2">
        <v>8</v>
      </c>
      <c r="AD85" s="3">
        <f t="shared" si="11"/>
        <v>1.9555555555555555</v>
      </c>
      <c r="AE85" s="32">
        <v>3.4</v>
      </c>
      <c r="AF85" s="32">
        <v>34.75</v>
      </c>
      <c r="AG85" s="32">
        <v>16.824999999999999</v>
      </c>
      <c r="AH85" s="44">
        <v>0.48399999999999999</v>
      </c>
      <c r="AI85" s="46">
        <v>52</v>
      </c>
      <c r="AJ85" s="53">
        <v>237.5</v>
      </c>
      <c r="AK85" s="53">
        <v>37.594999999999999</v>
      </c>
      <c r="AL85" s="53">
        <v>305</v>
      </c>
    </row>
    <row r="86" spans="1:38" customFormat="1" x14ac:dyDescent="0.3">
      <c r="A86" s="12" t="s">
        <v>97</v>
      </c>
      <c r="B86" s="20" t="str">
        <f t="shared" si="9"/>
        <v>bom</v>
      </c>
      <c r="C86" s="51">
        <v>5</v>
      </c>
      <c r="D86" s="20">
        <v>0</v>
      </c>
      <c r="E86" s="20">
        <v>0</v>
      </c>
      <c r="F86" s="20">
        <v>0</v>
      </c>
      <c r="G86" s="20">
        <v>0</v>
      </c>
      <c r="H86" s="20">
        <v>0</v>
      </c>
      <c r="I86" s="20">
        <v>1</v>
      </c>
      <c r="J86" s="20">
        <v>1</v>
      </c>
      <c r="K86" s="20">
        <v>0</v>
      </c>
      <c r="L86" s="20">
        <v>0</v>
      </c>
      <c r="M86" s="20">
        <v>1</v>
      </c>
      <c r="N86" s="20">
        <v>0</v>
      </c>
      <c r="O86" s="20">
        <v>0</v>
      </c>
      <c r="P86" s="2">
        <v>98</v>
      </c>
      <c r="Q86" s="2">
        <v>97</v>
      </c>
      <c r="R86" s="13">
        <v>9</v>
      </c>
      <c r="S86" s="13">
        <v>4</v>
      </c>
      <c r="T86" s="2">
        <v>101.6</v>
      </c>
      <c r="U86" s="2">
        <v>16</v>
      </c>
      <c r="V86" s="22">
        <v>35.359000000000002</v>
      </c>
      <c r="W86" s="22">
        <v>39.996000000000002</v>
      </c>
      <c r="X86" s="22">
        <v>20.047599999999999</v>
      </c>
      <c r="Y86" s="2">
        <v>1.1040000000000001</v>
      </c>
      <c r="Z86" s="37">
        <f t="shared" si="8"/>
        <v>1104</v>
      </c>
      <c r="AA86" s="2">
        <v>5.4</v>
      </c>
      <c r="AB86" s="2">
        <v>90</v>
      </c>
      <c r="AC86" s="2">
        <v>11</v>
      </c>
      <c r="AD86" s="3">
        <f t="shared" si="11"/>
        <v>2.4444444444444446</v>
      </c>
      <c r="AE86" s="32">
        <v>-0.6</v>
      </c>
      <c r="AF86" s="32">
        <v>32.5</v>
      </c>
      <c r="AG86" s="32">
        <v>15.13</v>
      </c>
      <c r="AH86" s="44">
        <v>0.46600000000000003</v>
      </c>
      <c r="AI86" s="46">
        <v>51.8</v>
      </c>
      <c r="AJ86" s="53">
        <v>238.83297336432719</v>
      </c>
      <c r="AK86" s="53">
        <v>38.405000000000001</v>
      </c>
      <c r="AL86" s="53">
        <v>501</v>
      </c>
    </row>
    <row r="87" spans="1:38" customFormat="1" x14ac:dyDescent="0.3">
      <c r="A87" s="12" t="s">
        <v>66</v>
      </c>
      <c r="B87" s="20" t="str">
        <f t="shared" si="9"/>
        <v>ruim</v>
      </c>
      <c r="C87" s="51">
        <v>9</v>
      </c>
      <c r="D87" s="20">
        <v>1</v>
      </c>
      <c r="E87" s="20">
        <v>0</v>
      </c>
      <c r="F87" s="20">
        <v>1</v>
      </c>
      <c r="G87" s="20">
        <v>1</v>
      </c>
      <c r="H87" s="20">
        <v>1</v>
      </c>
      <c r="I87" s="20">
        <v>0</v>
      </c>
      <c r="J87" s="20">
        <v>0</v>
      </c>
      <c r="K87" s="20">
        <v>1</v>
      </c>
      <c r="L87" s="20">
        <v>0</v>
      </c>
      <c r="M87" s="20">
        <v>0</v>
      </c>
      <c r="N87" s="20">
        <v>0</v>
      </c>
      <c r="O87" s="20">
        <v>1</v>
      </c>
      <c r="P87" s="2">
        <v>58</v>
      </c>
      <c r="Q87" s="2">
        <v>28</v>
      </c>
      <c r="R87" s="13">
        <v>8</v>
      </c>
      <c r="S87" s="13">
        <v>6</v>
      </c>
      <c r="T87" s="2">
        <v>136.5</v>
      </c>
      <c r="U87" s="2">
        <v>20</v>
      </c>
      <c r="V87" s="22">
        <v>62.0762</v>
      </c>
      <c r="W87" s="22">
        <v>57.405000000000001</v>
      </c>
      <c r="X87" s="22">
        <v>34.082999999999998</v>
      </c>
      <c r="Y87" s="2">
        <v>1.929</v>
      </c>
      <c r="Z87" s="37">
        <f t="shared" si="8"/>
        <v>1929</v>
      </c>
      <c r="AA87" s="2">
        <v>5.4</v>
      </c>
      <c r="AB87" s="2">
        <v>104</v>
      </c>
      <c r="AC87" s="2">
        <v>32</v>
      </c>
      <c r="AD87" s="3">
        <f t="shared" si="11"/>
        <v>8.2172839506172846</v>
      </c>
      <c r="AE87" s="32">
        <v>-9.8000000000000007</v>
      </c>
      <c r="AF87" s="32">
        <v>40.729999999999997</v>
      </c>
      <c r="AG87" s="32">
        <v>26.864000000000001</v>
      </c>
      <c r="AH87" s="44">
        <v>0.66</v>
      </c>
      <c r="AI87" s="46">
        <v>47.1</v>
      </c>
      <c r="AJ87" s="53">
        <v>549.5</v>
      </c>
      <c r="AK87" s="53">
        <v>47.339999999999989</v>
      </c>
      <c r="AL87" s="53">
        <v>668.5</v>
      </c>
    </row>
    <row r="88" spans="1:38" customFormat="1" x14ac:dyDescent="0.3">
      <c r="A88" s="12" t="s">
        <v>67</v>
      </c>
      <c r="B88" s="48" t="str">
        <f t="shared" si="9"/>
        <v>ruim</v>
      </c>
      <c r="C88" s="51">
        <v>6</v>
      </c>
      <c r="D88" s="48">
        <v>1</v>
      </c>
      <c r="E88" s="48">
        <v>0</v>
      </c>
      <c r="F88" s="48">
        <v>0</v>
      </c>
      <c r="G88" s="48">
        <v>1</v>
      </c>
      <c r="H88" s="48">
        <v>1</v>
      </c>
      <c r="I88" s="48">
        <v>1</v>
      </c>
      <c r="J88" s="48">
        <v>1</v>
      </c>
      <c r="K88" s="48">
        <v>0</v>
      </c>
      <c r="L88" s="48">
        <v>0</v>
      </c>
      <c r="M88" s="48">
        <v>1</v>
      </c>
      <c r="N88" s="48">
        <v>0</v>
      </c>
      <c r="O88" s="48">
        <v>1</v>
      </c>
      <c r="P88" s="2">
        <v>79</v>
      </c>
      <c r="Q88" s="2">
        <v>76</v>
      </c>
      <c r="R88" s="13">
        <v>4</v>
      </c>
      <c r="S88" s="13">
        <v>5</v>
      </c>
      <c r="T88" s="2">
        <v>113</v>
      </c>
      <c r="U88" s="2">
        <v>26</v>
      </c>
      <c r="V88" s="22">
        <v>50.594000000000001</v>
      </c>
      <c r="W88" s="22">
        <v>35.159999999999997</v>
      </c>
      <c r="X88" s="22">
        <v>20.919</v>
      </c>
      <c r="Y88" s="2">
        <v>1.5089999999999999</v>
      </c>
      <c r="Z88" s="37">
        <f t="shared" si="8"/>
        <v>1509</v>
      </c>
      <c r="AA88" s="2">
        <v>5.6</v>
      </c>
      <c r="AB88" s="2">
        <v>95</v>
      </c>
      <c r="AC88" s="2">
        <v>16</v>
      </c>
      <c r="AD88" s="3">
        <f t="shared" si="11"/>
        <v>3.7530864197530862</v>
      </c>
      <c r="AE88" s="32">
        <v>-9.1</v>
      </c>
      <c r="AF88" s="32">
        <v>32.520000000000003</v>
      </c>
      <c r="AG88" s="32">
        <v>21.193999999999999</v>
      </c>
      <c r="AH88" s="44">
        <v>0.65200000000000002</v>
      </c>
      <c r="AI88" s="46">
        <v>40.1</v>
      </c>
      <c r="AJ88" s="53">
        <v>671</v>
      </c>
      <c r="AK88" s="53">
        <v>54.005000000000017</v>
      </c>
      <c r="AL88" s="53">
        <v>808</v>
      </c>
    </row>
    <row r="89" spans="1:38" customFormat="1" x14ac:dyDescent="0.3">
      <c r="A89" s="12" t="s">
        <v>26</v>
      </c>
      <c r="B89" s="20" t="str">
        <f t="shared" si="9"/>
        <v>bom</v>
      </c>
      <c r="C89" s="51">
        <v>5</v>
      </c>
      <c r="D89" s="20">
        <v>0</v>
      </c>
      <c r="E89" s="20">
        <v>0</v>
      </c>
      <c r="F89" s="20">
        <v>1</v>
      </c>
      <c r="G89" s="20">
        <v>0</v>
      </c>
      <c r="H89" s="20">
        <v>0</v>
      </c>
      <c r="I89" s="20">
        <v>1</v>
      </c>
      <c r="J89" s="20">
        <v>1</v>
      </c>
      <c r="K89" s="20">
        <v>1</v>
      </c>
      <c r="L89" s="20">
        <v>0</v>
      </c>
      <c r="M89" s="20">
        <v>1</v>
      </c>
      <c r="N89" s="20">
        <v>0</v>
      </c>
      <c r="O89" s="20">
        <v>0</v>
      </c>
      <c r="P89" s="2">
        <v>77</v>
      </c>
      <c r="Q89" s="2">
        <v>89</v>
      </c>
      <c r="R89" s="13">
        <v>6</v>
      </c>
      <c r="S89" s="13">
        <v>3</v>
      </c>
      <c r="T89" s="17">
        <v>98.2</v>
      </c>
      <c r="U89" s="17">
        <v>15</v>
      </c>
      <c r="V89" s="24">
        <v>36.4253</v>
      </c>
      <c r="W89" s="18">
        <v>33.716999999999999</v>
      </c>
      <c r="X89" s="18">
        <v>17.077999999999999</v>
      </c>
      <c r="Y89" s="17">
        <v>0.78700000000000003</v>
      </c>
      <c r="Z89" s="37">
        <f t="shared" si="8"/>
        <v>787</v>
      </c>
      <c r="AA89" s="19">
        <v>5.5</v>
      </c>
      <c r="AB89" s="19">
        <v>94</v>
      </c>
      <c r="AC89" s="19">
        <v>9.3000000000000007</v>
      </c>
      <c r="AD89" s="3">
        <f t="shared" si="11"/>
        <v>2.1585185185185187</v>
      </c>
      <c r="AE89" s="32"/>
      <c r="AF89" s="32">
        <v>30.9</v>
      </c>
      <c r="AG89" s="32">
        <v>13.829000000000001</v>
      </c>
      <c r="AH89" s="44">
        <v>0.44800000000000001</v>
      </c>
      <c r="AI89" s="46">
        <v>46.8</v>
      </c>
      <c r="AJ89" s="53">
        <v>345.46033634762068</v>
      </c>
      <c r="AK89" s="53">
        <v>41.639999999999993</v>
      </c>
      <c r="AL89" s="53">
        <v>523.5</v>
      </c>
    </row>
    <row r="90" spans="1:38" customFormat="1" x14ac:dyDescent="0.3">
      <c r="A90" s="12" t="s">
        <v>27</v>
      </c>
      <c r="B90" s="20" t="str">
        <f t="shared" si="9"/>
        <v>bom</v>
      </c>
      <c r="C90" s="51">
        <v>2</v>
      </c>
      <c r="D90" s="20">
        <v>0</v>
      </c>
      <c r="E90" s="20">
        <v>0</v>
      </c>
      <c r="F90" s="20">
        <v>1</v>
      </c>
      <c r="G90" s="20">
        <v>0</v>
      </c>
      <c r="H90" s="20">
        <v>0</v>
      </c>
      <c r="I90" s="20">
        <v>1</v>
      </c>
      <c r="J90" s="20">
        <v>1</v>
      </c>
      <c r="K90" s="20">
        <v>1</v>
      </c>
      <c r="L90" s="20">
        <v>0</v>
      </c>
      <c r="M90" s="20">
        <v>1</v>
      </c>
      <c r="N90" s="20">
        <v>0</v>
      </c>
      <c r="O90" s="20">
        <v>0</v>
      </c>
      <c r="P90" s="2">
        <v>87</v>
      </c>
      <c r="Q90" s="2">
        <v>41</v>
      </c>
      <c r="R90" s="13">
        <v>15</v>
      </c>
      <c r="S90" s="13">
        <v>10</v>
      </c>
      <c r="T90" s="17">
        <v>96</v>
      </c>
      <c r="U90" s="17">
        <v>20</v>
      </c>
      <c r="V90" s="18">
        <v>35.978999999999999</v>
      </c>
      <c r="W90" s="18">
        <v>27.046299999999999</v>
      </c>
      <c r="X90" s="18">
        <v>13.691800000000001</v>
      </c>
      <c r="Y90" s="17">
        <v>0.84</v>
      </c>
      <c r="Z90" s="37">
        <f t="shared" si="8"/>
        <v>840</v>
      </c>
      <c r="AA90" s="19">
        <v>5.7</v>
      </c>
      <c r="AB90" s="19">
        <v>91</v>
      </c>
      <c r="AC90" s="25"/>
      <c r="AD90" s="3"/>
      <c r="AE90" s="32">
        <v>-1.1000000000000001</v>
      </c>
      <c r="AF90" s="32">
        <v>31.3</v>
      </c>
      <c r="AG90" s="32">
        <v>15.257</v>
      </c>
      <c r="AH90" s="44">
        <v>0.48699999999999999</v>
      </c>
      <c r="AI90" s="46">
        <v>42</v>
      </c>
      <c r="AJ90" s="53">
        <v>250.25</v>
      </c>
      <c r="AK90" s="53">
        <v>35.045000000000002</v>
      </c>
      <c r="AL90" s="53">
        <v>517.5</v>
      </c>
    </row>
    <row r="91" spans="1:38" customFormat="1" x14ac:dyDescent="0.3">
      <c r="A91" s="12" t="s">
        <v>28</v>
      </c>
      <c r="B91" s="48" t="str">
        <f t="shared" si="9"/>
        <v>ruim</v>
      </c>
      <c r="C91" s="51">
        <v>7</v>
      </c>
      <c r="D91" s="48">
        <v>1</v>
      </c>
      <c r="E91" s="48">
        <v>0</v>
      </c>
      <c r="F91" s="48">
        <v>1</v>
      </c>
      <c r="G91" s="48">
        <v>0</v>
      </c>
      <c r="H91" s="48">
        <v>0</v>
      </c>
      <c r="I91" s="48">
        <v>1</v>
      </c>
      <c r="J91" s="48">
        <v>0</v>
      </c>
      <c r="K91" s="48">
        <v>1</v>
      </c>
      <c r="L91" s="48">
        <v>0</v>
      </c>
      <c r="M91" s="48">
        <v>1</v>
      </c>
      <c r="N91" s="48">
        <v>0</v>
      </c>
      <c r="O91" s="48">
        <v>0</v>
      </c>
      <c r="P91" s="2">
        <v>48</v>
      </c>
      <c r="Q91" s="2">
        <v>40</v>
      </c>
      <c r="R91" s="13">
        <v>10</v>
      </c>
      <c r="S91" s="13">
        <v>4</v>
      </c>
      <c r="T91" s="14">
        <v>123</v>
      </c>
      <c r="U91" s="14">
        <v>34</v>
      </c>
      <c r="V91" s="15">
        <v>58.506</v>
      </c>
      <c r="W91" s="15">
        <v>37.423000000000002</v>
      </c>
      <c r="X91" s="15">
        <v>20.206</v>
      </c>
      <c r="Y91" s="14">
        <v>1.492</v>
      </c>
      <c r="Z91" s="37">
        <f t="shared" si="8"/>
        <v>1492</v>
      </c>
      <c r="AA91" s="23"/>
      <c r="AB91" s="23"/>
      <c r="AC91" s="23"/>
      <c r="AD91" s="3"/>
      <c r="AE91" s="32"/>
      <c r="AF91" s="32">
        <v>38.299999999999997</v>
      </c>
      <c r="AG91" s="32">
        <v>24.856999999999999</v>
      </c>
      <c r="AH91" s="44">
        <v>0.64900000000000002</v>
      </c>
      <c r="AI91" s="46">
        <v>37.9</v>
      </c>
      <c r="AJ91" s="49"/>
      <c r="AK91" s="49"/>
      <c r="AL91" s="49"/>
    </row>
    <row r="92" spans="1:38" customFormat="1" x14ac:dyDescent="0.3">
      <c r="A92" s="12" t="s">
        <v>98</v>
      </c>
      <c r="B92" s="20" t="str">
        <f t="shared" si="9"/>
        <v>bom</v>
      </c>
      <c r="C92" s="51">
        <v>2</v>
      </c>
      <c r="D92" s="48">
        <v>0</v>
      </c>
      <c r="E92" s="20">
        <v>1</v>
      </c>
      <c r="F92" s="20">
        <v>1</v>
      </c>
      <c r="G92" s="20">
        <v>0</v>
      </c>
      <c r="H92" s="20">
        <v>0</v>
      </c>
      <c r="I92" s="20">
        <v>0</v>
      </c>
      <c r="J92" s="20">
        <v>0</v>
      </c>
      <c r="K92" s="20">
        <v>1</v>
      </c>
      <c r="L92" s="20">
        <v>1</v>
      </c>
      <c r="M92" s="20">
        <v>0</v>
      </c>
      <c r="N92" s="20">
        <v>0</v>
      </c>
      <c r="O92" s="20">
        <v>0</v>
      </c>
      <c r="P92" s="2">
        <v>67</v>
      </c>
      <c r="Q92" s="2">
        <v>84</v>
      </c>
      <c r="R92" s="13">
        <v>4</v>
      </c>
      <c r="S92" s="13">
        <v>3</v>
      </c>
      <c r="T92" s="2">
        <v>119.8</v>
      </c>
      <c r="U92" s="3">
        <v>16</v>
      </c>
      <c r="V92" s="22">
        <v>43.436</v>
      </c>
      <c r="W92" s="22">
        <v>42.767000000000003</v>
      </c>
      <c r="X92" s="22">
        <v>21.477</v>
      </c>
      <c r="Y92" s="2">
        <v>0.80400000000000005</v>
      </c>
      <c r="Z92" s="37">
        <f t="shared" si="8"/>
        <v>804</v>
      </c>
      <c r="AA92" s="2">
        <v>7.1</v>
      </c>
      <c r="AB92" s="2">
        <v>130</v>
      </c>
      <c r="AC92" s="2">
        <v>11.8</v>
      </c>
      <c r="AD92" s="3">
        <f>AB92*AC92/405</f>
        <v>3.7876543209876545</v>
      </c>
      <c r="AE92" s="32">
        <v>-6.6</v>
      </c>
      <c r="AF92" s="32">
        <v>37.700000000000003</v>
      </c>
      <c r="AG92" s="32">
        <v>16.954000000000001</v>
      </c>
      <c r="AH92" s="44">
        <v>0.45</v>
      </c>
      <c r="AI92" s="46">
        <v>48.3</v>
      </c>
      <c r="AJ92" s="53">
        <v>205.55</v>
      </c>
      <c r="AK92" s="53">
        <v>27.23</v>
      </c>
      <c r="AL92" s="53">
        <v>856.5</v>
      </c>
    </row>
    <row r="93" spans="1:38" customFormat="1" x14ac:dyDescent="0.3">
      <c r="A93" s="12" t="s">
        <v>29</v>
      </c>
      <c r="B93" s="20" t="str">
        <f t="shared" si="9"/>
        <v>bom</v>
      </c>
      <c r="C93" s="51">
        <v>3</v>
      </c>
      <c r="D93" s="20">
        <v>0</v>
      </c>
      <c r="E93" s="20">
        <v>0</v>
      </c>
      <c r="F93" s="20">
        <v>1</v>
      </c>
      <c r="G93" s="20">
        <v>0</v>
      </c>
      <c r="H93" s="20">
        <v>0</v>
      </c>
      <c r="I93" s="20">
        <v>0</v>
      </c>
      <c r="J93" s="20">
        <v>1</v>
      </c>
      <c r="K93" s="20">
        <v>1</v>
      </c>
      <c r="L93" s="20">
        <v>0</v>
      </c>
      <c r="M93" s="20">
        <v>0</v>
      </c>
      <c r="N93" s="20">
        <v>0</v>
      </c>
      <c r="O93" s="20">
        <v>0</v>
      </c>
      <c r="P93" s="2">
        <v>77</v>
      </c>
      <c r="Q93" s="2">
        <v>78</v>
      </c>
      <c r="R93" s="13">
        <v>1</v>
      </c>
      <c r="S93" s="13">
        <v>2</v>
      </c>
      <c r="T93" s="14">
        <v>125</v>
      </c>
      <c r="U93" s="14">
        <v>16</v>
      </c>
      <c r="V93" s="15">
        <v>46.606999999999999</v>
      </c>
      <c r="W93" s="14">
        <v>54.015099999999997</v>
      </c>
      <c r="X93" s="15">
        <v>29.861000000000001</v>
      </c>
      <c r="Y93" s="14">
        <v>1.2889999999999999</v>
      </c>
      <c r="Z93" s="37">
        <f t="shared" si="8"/>
        <v>1289</v>
      </c>
      <c r="AA93" s="14">
        <v>5.6</v>
      </c>
      <c r="AB93" s="14">
        <v>85</v>
      </c>
      <c r="AC93" s="14">
        <v>18.600000000000001</v>
      </c>
      <c r="AD93" s="3">
        <f>AB93*AC93/405</f>
        <v>3.9037037037037043</v>
      </c>
      <c r="AE93" s="32"/>
      <c r="AF93" s="32">
        <v>39.700000000000003</v>
      </c>
      <c r="AG93" s="32">
        <v>17.786000000000001</v>
      </c>
      <c r="AH93" s="44">
        <v>0.44800000000000001</v>
      </c>
      <c r="AI93" s="46">
        <v>53.7</v>
      </c>
      <c r="AJ93" s="53">
        <v>660.83996630400657</v>
      </c>
      <c r="AK93" s="53">
        <v>55.003579989414177</v>
      </c>
      <c r="AL93" s="53">
        <v>522.40355679039226</v>
      </c>
    </row>
    <row r="94" spans="1:38" customFormat="1" x14ac:dyDescent="0.3">
      <c r="A94" s="12" t="s">
        <v>30</v>
      </c>
      <c r="B94" s="48" t="str">
        <f t="shared" si="9"/>
        <v>bom</v>
      </c>
      <c r="C94" s="51">
        <v>4</v>
      </c>
      <c r="D94" s="20">
        <v>0</v>
      </c>
      <c r="E94" s="48">
        <v>0</v>
      </c>
      <c r="F94" s="48">
        <v>1</v>
      </c>
      <c r="G94" s="48">
        <v>0</v>
      </c>
      <c r="H94" s="48">
        <v>1</v>
      </c>
      <c r="I94" s="48">
        <v>0</v>
      </c>
      <c r="J94" s="48">
        <v>0</v>
      </c>
      <c r="K94" s="48">
        <v>1</v>
      </c>
      <c r="L94" s="48">
        <v>0</v>
      </c>
      <c r="M94" s="48">
        <v>0</v>
      </c>
      <c r="N94" s="48">
        <v>0</v>
      </c>
      <c r="O94" s="48">
        <v>0</v>
      </c>
      <c r="P94" s="2">
        <v>71</v>
      </c>
      <c r="Q94" s="2">
        <v>64</v>
      </c>
      <c r="R94" s="13">
        <v>3</v>
      </c>
      <c r="S94" s="13">
        <v>0</v>
      </c>
      <c r="T94" s="2">
        <v>113.5</v>
      </c>
      <c r="U94" s="2">
        <v>19</v>
      </c>
      <c r="V94" s="22">
        <v>42.59</v>
      </c>
      <c r="W94" s="22">
        <v>46.732399999999998</v>
      </c>
      <c r="X94" s="22">
        <v>21.058</v>
      </c>
      <c r="Y94" s="2">
        <v>0.91800000000000004</v>
      </c>
      <c r="Z94" s="37">
        <f t="shared" si="8"/>
        <v>918</v>
      </c>
      <c r="AA94" s="2">
        <v>5.2</v>
      </c>
      <c r="AB94" s="2">
        <v>98</v>
      </c>
      <c r="AC94" s="2">
        <v>16</v>
      </c>
      <c r="AD94" s="3">
        <f>AB94*AC94/405</f>
        <v>3.8716049382716049</v>
      </c>
      <c r="AE94" s="32">
        <v>0.5</v>
      </c>
      <c r="AF94" s="32">
        <v>40.5</v>
      </c>
      <c r="AG94" s="32">
        <v>19.018999999999998</v>
      </c>
      <c r="AH94" s="44">
        <v>0.47</v>
      </c>
      <c r="AI94" s="46">
        <v>51.2</v>
      </c>
      <c r="AJ94" s="53">
        <v>397.47800094874123</v>
      </c>
      <c r="AK94" s="53">
        <v>49.260000000000012</v>
      </c>
      <c r="AL94" s="53">
        <v>473.5</v>
      </c>
    </row>
    <row r="95" spans="1:38" customFormat="1" x14ac:dyDescent="0.3">
      <c r="A95" s="12" t="s">
        <v>31</v>
      </c>
      <c r="B95" s="20" t="str">
        <f t="shared" si="9"/>
        <v>ruim</v>
      </c>
      <c r="C95" s="51">
        <v>10</v>
      </c>
      <c r="D95" s="48">
        <v>0</v>
      </c>
      <c r="E95" s="20">
        <v>0</v>
      </c>
      <c r="F95" s="20">
        <v>1</v>
      </c>
      <c r="G95" s="20">
        <v>1</v>
      </c>
      <c r="H95" s="20">
        <v>0</v>
      </c>
      <c r="I95" s="20">
        <v>1</v>
      </c>
      <c r="J95" s="20">
        <v>1</v>
      </c>
      <c r="K95" s="20">
        <v>1</v>
      </c>
      <c r="L95" s="20">
        <v>0</v>
      </c>
      <c r="M95" s="20">
        <v>1</v>
      </c>
      <c r="N95" s="20">
        <v>0</v>
      </c>
      <c r="O95" s="20">
        <v>1</v>
      </c>
      <c r="P95" s="2">
        <v>38</v>
      </c>
      <c r="Q95" s="2">
        <v>86</v>
      </c>
      <c r="R95" s="13">
        <v>1</v>
      </c>
      <c r="S95" s="13">
        <v>3</v>
      </c>
      <c r="T95" s="2">
        <v>110.6</v>
      </c>
      <c r="U95" s="2">
        <v>14</v>
      </c>
      <c r="V95" s="22">
        <v>41.259</v>
      </c>
      <c r="W95" s="22">
        <v>42.395000000000003</v>
      </c>
      <c r="X95" s="22">
        <v>22.6</v>
      </c>
      <c r="Y95" s="2">
        <v>1.371</v>
      </c>
      <c r="Z95" s="37">
        <f t="shared" si="8"/>
        <v>1371</v>
      </c>
      <c r="AA95" s="2">
        <v>5.9</v>
      </c>
      <c r="AB95" s="2">
        <v>89</v>
      </c>
      <c r="AC95" s="2">
        <v>10.7</v>
      </c>
      <c r="AD95" s="3">
        <f>AB95*AC95/405</f>
        <v>2.3513580246913581</v>
      </c>
      <c r="AE95" s="32">
        <v>2</v>
      </c>
      <c r="AF95" s="32">
        <v>34.1</v>
      </c>
      <c r="AG95" s="32">
        <v>17.166</v>
      </c>
      <c r="AH95" s="44">
        <v>0.503</v>
      </c>
      <c r="AI95" s="46">
        <v>49.6</v>
      </c>
      <c r="AJ95" s="53">
        <v>505.42031613872081</v>
      </c>
      <c r="AK95" s="53">
        <v>57.949244491313827</v>
      </c>
      <c r="AL95" s="53">
        <v>525</v>
      </c>
    </row>
    <row r="96" spans="1:38" customFormat="1" x14ac:dyDescent="0.3">
      <c r="A96" s="12" t="s">
        <v>99</v>
      </c>
      <c r="B96" s="20" t="str">
        <f t="shared" si="9"/>
        <v>ruim</v>
      </c>
      <c r="C96" s="51">
        <v>14</v>
      </c>
      <c r="D96" s="20">
        <v>0</v>
      </c>
      <c r="E96" s="20">
        <v>1</v>
      </c>
      <c r="F96" s="20">
        <v>1</v>
      </c>
      <c r="G96" s="20">
        <v>0</v>
      </c>
      <c r="H96" s="20">
        <v>0</v>
      </c>
      <c r="I96" s="20">
        <v>0</v>
      </c>
      <c r="J96" s="20">
        <v>0</v>
      </c>
      <c r="K96" s="20">
        <v>1</v>
      </c>
      <c r="L96" s="20">
        <v>1</v>
      </c>
      <c r="M96" s="20">
        <v>0</v>
      </c>
      <c r="N96" s="20">
        <v>1</v>
      </c>
      <c r="O96" s="20">
        <v>0</v>
      </c>
      <c r="P96" s="2">
        <v>59</v>
      </c>
      <c r="Q96" s="2">
        <v>77</v>
      </c>
      <c r="R96" s="13">
        <v>16</v>
      </c>
      <c r="S96" s="13">
        <v>8</v>
      </c>
      <c r="T96" s="14">
        <v>126</v>
      </c>
      <c r="U96" s="14">
        <v>29</v>
      </c>
      <c r="V96" s="15">
        <v>48.055999999999997</v>
      </c>
      <c r="W96" s="15">
        <v>62.143599999999999</v>
      </c>
      <c r="X96" s="15">
        <v>29.5871</v>
      </c>
      <c r="Y96" s="14">
        <v>1.909</v>
      </c>
      <c r="Z96" s="37">
        <f t="shared" si="8"/>
        <v>1909</v>
      </c>
      <c r="AA96" s="23"/>
      <c r="AB96" s="23"/>
      <c r="AC96" s="23"/>
      <c r="AD96" s="3"/>
      <c r="AE96" s="32"/>
      <c r="AF96" s="32">
        <v>52.33</v>
      </c>
      <c r="AG96" s="32">
        <v>21.966999999999999</v>
      </c>
      <c r="AH96" s="44">
        <v>0.42</v>
      </c>
      <c r="AI96" s="46">
        <v>55.4</v>
      </c>
      <c r="AJ96" s="49"/>
      <c r="AK96" s="49"/>
      <c r="AL96" s="49"/>
    </row>
    <row r="97" spans="1:38" customFormat="1" x14ac:dyDescent="0.3">
      <c r="A97" s="12" t="s">
        <v>32</v>
      </c>
      <c r="B97" s="48" t="str">
        <f t="shared" si="9"/>
        <v>bom</v>
      </c>
      <c r="C97" s="51">
        <v>5</v>
      </c>
      <c r="D97" s="20">
        <v>0</v>
      </c>
      <c r="E97" s="48">
        <v>0</v>
      </c>
      <c r="F97" s="48">
        <v>1</v>
      </c>
      <c r="G97" s="48">
        <v>0</v>
      </c>
      <c r="H97" s="48">
        <v>0</v>
      </c>
      <c r="I97" s="48">
        <v>0</v>
      </c>
      <c r="J97" s="48">
        <v>0</v>
      </c>
      <c r="K97" s="48">
        <v>1</v>
      </c>
      <c r="L97" s="48">
        <v>0</v>
      </c>
      <c r="M97" s="48">
        <v>0</v>
      </c>
      <c r="N97" s="48">
        <v>0</v>
      </c>
      <c r="O97" s="48">
        <v>0</v>
      </c>
      <c r="P97" s="2">
        <v>70</v>
      </c>
      <c r="Q97" s="2">
        <v>81</v>
      </c>
      <c r="R97" s="13">
        <v>3</v>
      </c>
      <c r="S97" s="13">
        <v>1</v>
      </c>
      <c r="T97" s="2">
        <v>119.3</v>
      </c>
      <c r="U97" s="2">
        <v>18</v>
      </c>
      <c r="V97" s="22">
        <v>46.576300000000003</v>
      </c>
      <c r="W97" s="22">
        <v>61.175699999999999</v>
      </c>
      <c r="X97" s="22">
        <v>27.497</v>
      </c>
      <c r="Y97" s="2">
        <v>1.304</v>
      </c>
      <c r="Z97" s="37">
        <f t="shared" si="8"/>
        <v>1304</v>
      </c>
      <c r="AA97" s="2">
        <v>4.9000000000000004</v>
      </c>
      <c r="AB97" s="2">
        <v>93</v>
      </c>
      <c r="AC97" s="2">
        <v>8</v>
      </c>
      <c r="AD97" s="3">
        <f t="shared" ref="AD97:AD106" si="12">AB97*AC97/405</f>
        <v>1.837037037037037</v>
      </c>
      <c r="AE97" s="32">
        <v>-3.5</v>
      </c>
      <c r="AF97" s="32">
        <v>42.94</v>
      </c>
      <c r="AG97" s="32">
        <v>21.023</v>
      </c>
      <c r="AH97" s="44">
        <v>0.49</v>
      </c>
      <c r="AI97" s="46">
        <v>55.6</v>
      </c>
      <c r="AJ97" s="53">
        <v>314.5</v>
      </c>
      <c r="AK97" s="53">
        <v>40.745000000000019</v>
      </c>
      <c r="AL97" s="53">
        <v>546.5</v>
      </c>
    </row>
    <row r="98" spans="1:38" customFormat="1" x14ac:dyDescent="0.3">
      <c r="A98" s="12" t="s">
        <v>68</v>
      </c>
      <c r="B98" s="20" t="str">
        <f t="shared" si="9"/>
        <v>ruim</v>
      </c>
      <c r="C98" s="51">
        <v>7</v>
      </c>
      <c r="D98" s="48">
        <v>0</v>
      </c>
      <c r="E98" s="20">
        <v>0</v>
      </c>
      <c r="F98" s="20">
        <v>0</v>
      </c>
      <c r="G98" s="20">
        <v>0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</v>
      </c>
      <c r="N98" s="20">
        <v>0</v>
      </c>
      <c r="O98" s="20">
        <v>0</v>
      </c>
      <c r="P98" s="2">
        <v>86</v>
      </c>
      <c r="Q98" s="2">
        <v>30</v>
      </c>
      <c r="R98" s="13">
        <v>8</v>
      </c>
      <c r="S98" s="13">
        <v>8</v>
      </c>
      <c r="T98" s="2">
        <v>124.5</v>
      </c>
      <c r="U98" s="2">
        <v>20</v>
      </c>
      <c r="V98" s="22">
        <v>38.028500000000001</v>
      </c>
      <c r="W98" s="22">
        <v>51.985199999999999</v>
      </c>
      <c r="X98" s="22">
        <v>28.2319</v>
      </c>
      <c r="Y98" s="2">
        <v>1.4990000000000001</v>
      </c>
      <c r="Z98" s="37">
        <f t="shared" ref="Z98:Z106" si="13">Y98*1000</f>
        <v>1499</v>
      </c>
      <c r="AA98" s="2">
        <v>5.6</v>
      </c>
      <c r="AB98" s="2">
        <v>93</v>
      </c>
      <c r="AC98" s="2">
        <v>10</v>
      </c>
      <c r="AD98" s="3">
        <f t="shared" si="12"/>
        <v>2.2962962962962963</v>
      </c>
      <c r="AE98" s="32">
        <v>-8.6</v>
      </c>
      <c r="AF98" s="32">
        <v>39.92</v>
      </c>
      <c r="AG98" s="32">
        <v>15.416</v>
      </c>
      <c r="AH98" s="44">
        <v>0.38600000000000001</v>
      </c>
      <c r="AI98" s="46">
        <v>56.6</v>
      </c>
      <c r="AJ98" s="53">
        <v>259.89929629922761</v>
      </c>
      <c r="AK98" s="53">
        <v>36.435000000000009</v>
      </c>
      <c r="AL98" s="53">
        <v>676</v>
      </c>
    </row>
    <row r="99" spans="1:38" customFormat="1" x14ac:dyDescent="0.3">
      <c r="A99" s="12" t="s">
        <v>33</v>
      </c>
      <c r="B99" s="20" t="str">
        <f t="shared" si="9"/>
        <v>ruim</v>
      </c>
      <c r="C99" s="51">
        <v>9</v>
      </c>
      <c r="D99" s="48">
        <v>0</v>
      </c>
      <c r="E99" s="20">
        <v>0</v>
      </c>
      <c r="F99" s="20">
        <v>1</v>
      </c>
      <c r="G99" s="20">
        <v>0</v>
      </c>
      <c r="H99" s="20">
        <v>0</v>
      </c>
      <c r="I99" s="20">
        <v>0</v>
      </c>
      <c r="J99" s="20">
        <v>0</v>
      </c>
      <c r="K99" s="20">
        <v>1</v>
      </c>
      <c r="L99" s="20">
        <v>0</v>
      </c>
      <c r="M99" s="20">
        <v>0</v>
      </c>
      <c r="N99" s="20">
        <v>0</v>
      </c>
      <c r="O99" s="20">
        <v>0</v>
      </c>
      <c r="P99" s="2">
        <v>45</v>
      </c>
      <c r="Q99" s="2">
        <v>81</v>
      </c>
      <c r="R99" s="13">
        <v>6</v>
      </c>
      <c r="S99" s="13">
        <v>0</v>
      </c>
      <c r="T99" s="2">
        <v>103</v>
      </c>
      <c r="U99" s="2">
        <v>11</v>
      </c>
      <c r="V99" s="22">
        <v>35.012999999999998</v>
      </c>
      <c r="W99" s="22">
        <v>37.351999999999997</v>
      </c>
      <c r="X99" s="22">
        <v>20.817</v>
      </c>
      <c r="Y99" s="2">
        <v>1.43</v>
      </c>
      <c r="Z99" s="37">
        <f t="shared" si="13"/>
        <v>1430</v>
      </c>
      <c r="AA99" s="2">
        <v>6</v>
      </c>
      <c r="AB99" s="2">
        <v>108</v>
      </c>
      <c r="AC99" s="2">
        <v>14</v>
      </c>
      <c r="AD99" s="3">
        <f t="shared" si="12"/>
        <v>3.7333333333333334</v>
      </c>
      <c r="AE99" s="32">
        <v>3.5</v>
      </c>
      <c r="AF99" s="32">
        <v>31.94</v>
      </c>
      <c r="AG99" s="32">
        <v>13.587</v>
      </c>
      <c r="AH99" s="44">
        <v>0.42499999999999999</v>
      </c>
      <c r="AI99" s="46">
        <v>50.1</v>
      </c>
      <c r="AJ99" s="53">
        <v>741.5</v>
      </c>
      <c r="AK99" s="53">
        <v>59.634999999999991</v>
      </c>
      <c r="AL99" s="53">
        <v>726.5</v>
      </c>
    </row>
    <row r="100" spans="1:38" customFormat="1" x14ac:dyDescent="0.3">
      <c r="A100" s="12" t="s">
        <v>100</v>
      </c>
      <c r="B100" s="48" t="str">
        <f t="shared" si="9"/>
        <v>ruim</v>
      </c>
      <c r="C100" s="51">
        <v>7</v>
      </c>
      <c r="D100" s="20">
        <v>0</v>
      </c>
      <c r="E100" s="48">
        <v>1</v>
      </c>
      <c r="F100" s="48">
        <v>1</v>
      </c>
      <c r="G100" s="48">
        <v>1</v>
      </c>
      <c r="H100" s="48">
        <v>0</v>
      </c>
      <c r="I100" s="48">
        <v>1</v>
      </c>
      <c r="J100" s="48">
        <v>0</v>
      </c>
      <c r="K100" s="48">
        <v>1</v>
      </c>
      <c r="L100" s="48">
        <v>1</v>
      </c>
      <c r="M100" s="48">
        <v>1</v>
      </c>
      <c r="N100" s="48">
        <v>1</v>
      </c>
      <c r="O100" s="48">
        <v>1</v>
      </c>
      <c r="P100" s="2">
        <v>59</v>
      </c>
      <c r="Q100" s="2">
        <v>64</v>
      </c>
      <c r="R100" s="13">
        <v>0</v>
      </c>
      <c r="S100" s="13">
        <v>4</v>
      </c>
      <c r="T100" s="2">
        <v>108</v>
      </c>
      <c r="U100" s="2">
        <v>12</v>
      </c>
      <c r="V100" s="22">
        <v>38.116999999999997</v>
      </c>
      <c r="W100" s="22">
        <v>42.732999999999997</v>
      </c>
      <c r="X100" s="22">
        <v>20.401199999999999</v>
      </c>
      <c r="Y100" s="2">
        <v>1.373</v>
      </c>
      <c r="Z100" s="37">
        <f t="shared" si="13"/>
        <v>1373</v>
      </c>
      <c r="AA100" s="2">
        <v>5.8</v>
      </c>
      <c r="AB100" s="2">
        <v>97</v>
      </c>
      <c r="AC100" s="2">
        <v>10</v>
      </c>
      <c r="AD100" s="3">
        <f t="shared" si="12"/>
        <v>2.3950617283950617</v>
      </c>
      <c r="AE100" s="32">
        <v>-2.8</v>
      </c>
      <c r="AF100" s="32">
        <v>35.03</v>
      </c>
      <c r="AG100" s="32">
        <v>15.804</v>
      </c>
      <c r="AH100" s="44">
        <v>0.45100000000000001</v>
      </c>
      <c r="AI100" s="46">
        <v>51.6</v>
      </c>
      <c r="AJ100" s="53">
        <v>510.5</v>
      </c>
      <c r="AK100" s="53">
        <v>45.954999999999977</v>
      </c>
      <c r="AL100" s="53">
        <v>621</v>
      </c>
    </row>
    <row r="101" spans="1:38" customFormat="1" x14ac:dyDescent="0.3">
      <c r="A101" s="12" t="s">
        <v>101</v>
      </c>
      <c r="B101" s="20" t="str">
        <f t="shared" si="9"/>
        <v>bom</v>
      </c>
      <c r="C101" s="51">
        <v>4</v>
      </c>
      <c r="D101" s="20">
        <v>0</v>
      </c>
      <c r="E101" s="20">
        <v>0</v>
      </c>
      <c r="F101" s="20">
        <v>0</v>
      </c>
      <c r="G101" s="20">
        <v>0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</v>
      </c>
      <c r="N101" s="20">
        <v>1</v>
      </c>
      <c r="O101" s="20">
        <v>0</v>
      </c>
      <c r="P101" s="2">
        <v>65</v>
      </c>
      <c r="Q101" s="2">
        <v>80</v>
      </c>
      <c r="R101" s="13">
        <v>2</v>
      </c>
      <c r="S101" s="13">
        <v>2</v>
      </c>
      <c r="T101" s="2">
        <v>102</v>
      </c>
      <c r="U101" s="2">
        <v>16</v>
      </c>
      <c r="V101" s="22">
        <v>34.387999999999998</v>
      </c>
      <c r="W101" s="22">
        <v>35.017000000000003</v>
      </c>
      <c r="X101" s="22">
        <v>17.716999999999999</v>
      </c>
      <c r="Y101" s="2">
        <v>0.78400000000000003</v>
      </c>
      <c r="Z101" s="37">
        <f t="shared" si="13"/>
        <v>784</v>
      </c>
      <c r="AA101" s="2">
        <v>5.8</v>
      </c>
      <c r="AB101" s="2">
        <v>75</v>
      </c>
      <c r="AC101" s="2">
        <v>6.2</v>
      </c>
      <c r="AD101" s="3">
        <f t="shared" si="12"/>
        <v>1.1481481481481481</v>
      </c>
      <c r="AE101" s="32">
        <v>-2.5</v>
      </c>
      <c r="AF101" s="32">
        <v>30</v>
      </c>
      <c r="AG101" s="32">
        <v>14.137</v>
      </c>
      <c r="AH101" s="44">
        <v>0.47099999999999997</v>
      </c>
      <c r="AI101" s="46">
        <v>48.7</v>
      </c>
      <c r="AJ101" s="53">
        <v>157.44999999999999</v>
      </c>
      <c r="AK101" s="53">
        <v>27.224999999999991</v>
      </c>
      <c r="AL101" s="53">
        <v>426</v>
      </c>
    </row>
    <row r="102" spans="1:38" customFormat="1" x14ac:dyDescent="0.3">
      <c r="A102" s="12" t="s">
        <v>69</v>
      </c>
      <c r="B102" s="20" t="str">
        <f t="shared" si="9"/>
        <v>ruim</v>
      </c>
      <c r="C102" s="51">
        <v>12</v>
      </c>
      <c r="D102" s="48">
        <v>0</v>
      </c>
      <c r="E102" s="20">
        <v>0</v>
      </c>
      <c r="F102" s="20">
        <v>1</v>
      </c>
      <c r="G102" s="20">
        <v>0</v>
      </c>
      <c r="H102" s="20">
        <v>0</v>
      </c>
      <c r="I102" s="20">
        <v>1</v>
      </c>
      <c r="J102" s="20">
        <v>1</v>
      </c>
      <c r="K102" s="20">
        <v>1</v>
      </c>
      <c r="L102" s="20">
        <v>0</v>
      </c>
      <c r="M102" s="20">
        <v>1</v>
      </c>
      <c r="N102" s="20">
        <v>0</v>
      </c>
      <c r="O102" s="20">
        <v>0</v>
      </c>
      <c r="P102" s="2">
        <v>51</v>
      </c>
      <c r="Q102" s="2">
        <v>10</v>
      </c>
      <c r="R102" s="13">
        <v>16</v>
      </c>
      <c r="S102" s="13">
        <v>9</v>
      </c>
      <c r="T102" s="2">
        <v>118.5</v>
      </c>
      <c r="U102" s="2">
        <v>18</v>
      </c>
      <c r="V102" s="22">
        <v>43.23</v>
      </c>
      <c r="W102" s="22">
        <v>49.966200000000001</v>
      </c>
      <c r="X102" s="22">
        <v>24.0959</v>
      </c>
      <c r="Y102" s="2">
        <v>1.1240000000000001</v>
      </c>
      <c r="Z102" s="37">
        <f t="shared" si="13"/>
        <v>1124</v>
      </c>
      <c r="AA102" s="2">
        <v>5.5</v>
      </c>
      <c r="AB102" s="2">
        <v>90</v>
      </c>
      <c r="AC102" s="2">
        <v>10</v>
      </c>
      <c r="AD102" s="3">
        <f t="shared" si="12"/>
        <v>2.2222222222222223</v>
      </c>
      <c r="AE102" s="32">
        <v>-7.1</v>
      </c>
      <c r="AF102" s="32">
        <v>40.56</v>
      </c>
      <c r="AG102" s="32">
        <v>17.733000000000001</v>
      </c>
      <c r="AH102" s="44">
        <v>0.437</v>
      </c>
      <c r="AI102" s="46">
        <v>52.4</v>
      </c>
      <c r="AJ102" s="53">
        <v>688.5</v>
      </c>
      <c r="AK102" s="53">
        <v>74.015000000000001</v>
      </c>
      <c r="AL102" s="53">
        <v>693.5</v>
      </c>
    </row>
    <row r="103" spans="1:38" customFormat="1" x14ac:dyDescent="0.3">
      <c r="A103" s="12" t="s">
        <v>102</v>
      </c>
      <c r="B103" s="48" t="str">
        <f t="shared" si="9"/>
        <v>ruim</v>
      </c>
      <c r="C103" s="51">
        <v>8</v>
      </c>
      <c r="D103" s="20">
        <v>0</v>
      </c>
      <c r="E103" s="48">
        <v>0</v>
      </c>
      <c r="F103" s="48">
        <v>0</v>
      </c>
      <c r="G103" s="48">
        <v>0</v>
      </c>
      <c r="H103" s="48">
        <v>0</v>
      </c>
      <c r="I103" s="48">
        <v>0</v>
      </c>
      <c r="J103" s="48">
        <v>1</v>
      </c>
      <c r="K103" s="48">
        <v>0</v>
      </c>
      <c r="L103" s="48">
        <v>0</v>
      </c>
      <c r="M103" s="48">
        <v>0</v>
      </c>
      <c r="N103" s="48">
        <v>0</v>
      </c>
      <c r="O103" s="48">
        <v>0</v>
      </c>
      <c r="P103" s="2">
        <v>64</v>
      </c>
      <c r="Q103" s="2">
        <v>90</v>
      </c>
      <c r="R103" s="13">
        <v>2</v>
      </c>
      <c r="S103" s="13">
        <v>3</v>
      </c>
      <c r="T103" s="2">
        <v>102</v>
      </c>
      <c r="U103" s="2">
        <v>18</v>
      </c>
      <c r="V103" s="22">
        <v>39.222900000000003</v>
      </c>
      <c r="W103" s="22">
        <v>36.127200000000002</v>
      </c>
      <c r="X103" s="22">
        <v>17.946300000000001</v>
      </c>
      <c r="Y103" s="2">
        <v>1.133</v>
      </c>
      <c r="Z103" s="37">
        <f t="shared" si="13"/>
        <v>1133</v>
      </c>
      <c r="AA103" s="2">
        <v>6.4</v>
      </c>
      <c r="AB103" s="2">
        <v>125</v>
      </c>
      <c r="AC103" s="2">
        <v>12</v>
      </c>
      <c r="AD103" s="3">
        <f t="shared" si="12"/>
        <v>3.7037037037037037</v>
      </c>
      <c r="AE103" s="32">
        <v>-1.1000000000000001</v>
      </c>
      <c r="AF103" s="32">
        <v>34.22</v>
      </c>
      <c r="AG103" s="32">
        <v>16.763000000000002</v>
      </c>
      <c r="AH103" s="44">
        <v>0.49</v>
      </c>
      <c r="AI103" s="46">
        <v>46.9</v>
      </c>
      <c r="AJ103" s="53">
        <v>171</v>
      </c>
      <c r="AK103" s="53">
        <v>22.75</v>
      </c>
      <c r="AL103" s="53">
        <v>798.5</v>
      </c>
    </row>
    <row r="104" spans="1:38" customFormat="1" x14ac:dyDescent="0.3">
      <c r="A104" s="12" t="s">
        <v>34</v>
      </c>
      <c r="B104" s="20" t="str">
        <f t="shared" si="9"/>
        <v>bom</v>
      </c>
      <c r="C104" s="51">
        <v>2</v>
      </c>
      <c r="D104" s="20">
        <v>0</v>
      </c>
      <c r="E104" s="20">
        <v>0</v>
      </c>
      <c r="F104" s="20">
        <v>0</v>
      </c>
      <c r="G104" s="20">
        <v>1</v>
      </c>
      <c r="H104" s="20">
        <v>0</v>
      </c>
      <c r="I104" s="20">
        <v>0</v>
      </c>
      <c r="J104" s="20">
        <v>1</v>
      </c>
      <c r="K104" s="20">
        <v>0</v>
      </c>
      <c r="L104" s="20">
        <v>0</v>
      </c>
      <c r="M104" s="20">
        <v>0</v>
      </c>
      <c r="N104" s="20">
        <v>1</v>
      </c>
      <c r="O104" s="20">
        <v>1</v>
      </c>
      <c r="P104" s="2">
        <v>88</v>
      </c>
      <c r="Q104" s="2">
        <v>93</v>
      </c>
      <c r="R104" s="13">
        <v>4</v>
      </c>
      <c r="S104" s="13">
        <v>1</v>
      </c>
      <c r="T104" s="2">
        <v>106</v>
      </c>
      <c r="U104" s="2">
        <v>15</v>
      </c>
      <c r="V104" s="22">
        <v>36.866900000000001</v>
      </c>
      <c r="W104" s="22">
        <v>36.11</v>
      </c>
      <c r="X104" s="22">
        <v>16.494900000000001</v>
      </c>
      <c r="Y104" s="2">
        <v>0.67500000000000004</v>
      </c>
      <c r="Z104" s="37">
        <f t="shared" si="13"/>
        <v>675</v>
      </c>
      <c r="AA104" s="2">
        <v>4.8</v>
      </c>
      <c r="AB104" s="2">
        <v>84</v>
      </c>
      <c r="AC104" s="2">
        <v>6</v>
      </c>
      <c r="AD104" s="3">
        <f t="shared" si="12"/>
        <v>1.2444444444444445</v>
      </c>
      <c r="AE104" s="32">
        <v>-1.5</v>
      </c>
      <c r="AF104" s="32">
        <v>32.47</v>
      </c>
      <c r="AG104" s="32">
        <v>14.936999999999999</v>
      </c>
      <c r="AH104" s="44">
        <v>0.46</v>
      </c>
      <c r="AI104" s="46">
        <v>48.3</v>
      </c>
      <c r="AJ104" s="53">
        <v>192</v>
      </c>
      <c r="AK104" s="53">
        <v>33.465000000000003</v>
      </c>
      <c r="AL104" s="53">
        <v>579</v>
      </c>
    </row>
    <row r="105" spans="1:38" customFormat="1" x14ac:dyDescent="0.3">
      <c r="A105" s="12" t="s">
        <v>103</v>
      </c>
      <c r="B105" s="20" t="str">
        <f t="shared" si="9"/>
        <v>ruim</v>
      </c>
      <c r="C105" s="51">
        <v>6</v>
      </c>
      <c r="D105" s="48">
        <v>0</v>
      </c>
      <c r="E105" s="20">
        <v>0</v>
      </c>
      <c r="F105" s="20">
        <v>0</v>
      </c>
      <c r="G105" s="20">
        <v>0</v>
      </c>
      <c r="H105" s="20">
        <v>0</v>
      </c>
      <c r="I105" s="20">
        <v>0</v>
      </c>
      <c r="J105" s="20">
        <v>1</v>
      </c>
      <c r="K105" s="20">
        <v>0</v>
      </c>
      <c r="L105" s="20">
        <v>0</v>
      </c>
      <c r="M105" s="20">
        <v>0</v>
      </c>
      <c r="N105" s="20">
        <v>0</v>
      </c>
      <c r="O105" s="20">
        <v>0</v>
      </c>
      <c r="P105" s="2">
        <v>90</v>
      </c>
      <c r="Q105" s="2">
        <v>61</v>
      </c>
      <c r="R105" s="13">
        <v>7</v>
      </c>
      <c r="S105" s="13">
        <v>2</v>
      </c>
      <c r="T105" s="20">
        <v>102</v>
      </c>
      <c r="U105" s="17">
        <v>7</v>
      </c>
      <c r="V105" s="21">
        <v>34.856999999999999</v>
      </c>
      <c r="W105" s="21">
        <v>39.470999999999997</v>
      </c>
      <c r="X105" s="21">
        <v>17.768999999999998</v>
      </c>
      <c r="Y105" s="20">
        <v>0.67100000000000004</v>
      </c>
      <c r="Z105" s="37">
        <f t="shared" si="13"/>
        <v>671</v>
      </c>
      <c r="AA105" s="2">
        <v>5.3</v>
      </c>
      <c r="AB105" s="2">
        <v>82</v>
      </c>
      <c r="AC105" s="2">
        <v>10.4</v>
      </c>
      <c r="AD105" s="3">
        <f t="shared" si="12"/>
        <v>2.105679012345679</v>
      </c>
      <c r="AE105" s="32">
        <v>-2.7</v>
      </c>
      <c r="AF105" s="32">
        <v>31.4</v>
      </c>
      <c r="AG105" s="32">
        <v>14.752000000000001</v>
      </c>
      <c r="AH105" s="44">
        <v>0.47</v>
      </c>
      <c r="AI105" s="46">
        <v>52</v>
      </c>
      <c r="AJ105" s="53">
        <v>297.35000000000002</v>
      </c>
      <c r="AK105" s="53">
        <v>41.295000000000009</v>
      </c>
      <c r="AL105" s="53">
        <v>441.5</v>
      </c>
    </row>
    <row r="106" spans="1:38" customFormat="1" x14ac:dyDescent="0.3">
      <c r="A106" s="12" t="s">
        <v>104</v>
      </c>
      <c r="B106" s="48" t="str">
        <f t="shared" si="9"/>
        <v>ruim</v>
      </c>
      <c r="C106" s="51">
        <v>7</v>
      </c>
      <c r="D106" s="48">
        <v>0</v>
      </c>
      <c r="E106" s="48">
        <v>0</v>
      </c>
      <c r="F106" s="48">
        <v>1</v>
      </c>
      <c r="G106" s="48">
        <v>1</v>
      </c>
      <c r="H106" s="48">
        <v>0</v>
      </c>
      <c r="I106" s="48">
        <v>0</v>
      </c>
      <c r="J106" s="48">
        <v>0</v>
      </c>
      <c r="K106" s="48">
        <v>1</v>
      </c>
      <c r="L106" s="48">
        <v>0</v>
      </c>
      <c r="M106" s="48">
        <v>0</v>
      </c>
      <c r="N106" s="48">
        <v>0</v>
      </c>
      <c r="O106" s="48">
        <v>1</v>
      </c>
      <c r="P106" s="2">
        <v>61</v>
      </c>
      <c r="Q106" s="2">
        <v>92</v>
      </c>
      <c r="R106" s="13">
        <v>4</v>
      </c>
      <c r="S106" s="13">
        <v>3</v>
      </c>
      <c r="T106" s="2">
        <v>117.5</v>
      </c>
      <c r="U106" s="3">
        <v>17</v>
      </c>
      <c r="V106" s="2">
        <v>38.124000000000002</v>
      </c>
      <c r="W106" s="2">
        <v>45.407499999999999</v>
      </c>
      <c r="X106" s="22">
        <v>24.306999999999999</v>
      </c>
      <c r="Y106" s="2">
        <v>1.3009999999999999</v>
      </c>
      <c r="Z106" s="37">
        <f t="shared" si="13"/>
        <v>1301</v>
      </c>
      <c r="AA106" s="2">
        <v>5.3</v>
      </c>
      <c r="AB106" s="2">
        <v>94</v>
      </c>
      <c r="AC106" s="2">
        <v>12.2</v>
      </c>
      <c r="AD106" s="3">
        <f t="shared" si="12"/>
        <v>2.8316049382716049</v>
      </c>
      <c r="AE106" s="32">
        <v>-3.8</v>
      </c>
      <c r="AF106" s="32">
        <v>37.5</v>
      </c>
      <c r="AG106" s="32">
        <v>15.356999999999999</v>
      </c>
      <c r="AH106" s="44">
        <v>0.41</v>
      </c>
      <c r="AI106" s="46">
        <v>53.1</v>
      </c>
      <c r="AJ106" s="53">
        <v>368.20254724817602</v>
      </c>
      <c r="AK106" s="53">
        <v>37.534999999999989</v>
      </c>
      <c r="AL106" s="53">
        <v>490</v>
      </c>
    </row>
  </sheetData>
  <autoFilter ref="C1:C106" xr:uid="{00000000-0001-0000-0000-000000000000}"/>
  <sortState xmlns:xlrd2="http://schemas.microsoft.com/office/spreadsheetml/2017/richdata2" ref="A2:AH106">
    <sortCondition ref="A1:A10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Genario</dc:creator>
  <cp:lastModifiedBy>Saulo Gil</cp:lastModifiedBy>
  <dcterms:created xsi:type="dcterms:W3CDTF">2015-06-05T18:19:34Z</dcterms:created>
  <dcterms:modified xsi:type="dcterms:W3CDTF">2026-04-07T18:57:04Z</dcterms:modified>
</cp:coreProperties>
</file>