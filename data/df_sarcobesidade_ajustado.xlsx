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fa_\Desktop\ARQUIVOS\USP\PÓS-DOUTORADO\DADOS\"/>
    </mc:Choice>
  </mc:AlternateContent>
  <xr:revisionPtr revIDLastSave="0" documentId="13_ncr:1_{02DAFA82-4DC2-4833-A85F-BD8F7C339A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line" sheetId="1" r:id="rId1"/>
  </sheets>
  <definedNames>
    <definedName name="_xlnm._FilterDatabase" localSheetId="0" hidden="1">Baseline!$C$1:$C$992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7" i="1"/>
  <c r="B18" i="1"/>
  <c r="B19" i="1"/>
  <c r="B26" i="1"/>
  <c r="B30" i="1"/>
  <c r="B37" i="1"/>
  <c r="B40" i="1"/>
  <c r="B43" i="1"/>
  <c r="B44" i="1"/>
  <c r="B48" i="1"/>
  <c r="B51" i="1"/>
  <c r="B54" i="1"/>
  <c r="B60" i="1"/>
  <c r="B62" i="1"/>
  <c r="B64" i="1"/>
  <c r="B66" i="1"/>
  <c r="B67" i="1"/>
  <c r="B72" i="1"/>
  <c r="B76" i="1"/>
  <c r="B77" i="1"/>
  <c r="B83" i="1"/>
  <c r="B85" i="1"/>
  <c r="B89" i="1"/>
  <c r="B90" i="1"/>
  <c r="B91" i="1"/>
  <c r="B93" i="1"/>
  <c r="B94" i="1"/>
  <c r="B95" i="1"/>
  <c r="B97" i="1"/>
  <c r="B99" i="1"/>
  <c r="B104" i="1"/>
  <c r="B5" i="1"/>
  <c r="B9" i="1"/>
  <c r="B10" i="1"/>
  <c r="B11" i="1"/>
  <c r="B15" i="1"/>
  <c r="B22" i="1"/>
  <c r="B23" i="1"/>
  <c r="B25" i="1"/>
  <c r="B27" i="1"/>
  <c r="B31" i="1"/>
  <c r="B32" i="1"/>
  <c r="B34" i="1"/>
  <c r="B35" i="1"/>
  <c r="B39" i="1"/>
  <c r="B42" i="1"/>
  <c r="B45" i="1"/>
  <c r="B46" i="1"/>
  <c r="B47" i="1"/>
  <c r="B52" i="1"/>
  <c r="B53" i="1"/>
  <c r="B58" i="1"/>
  <c r="B63" i="1"/>
  <c r="B65" i="1"/>
  <c r="B69" i="1"/>
  <c r="B70" i="1"/>
  <c r="B71" i="1"/>
  <c r="B75" i="1"/>
  <c r="B79" i="1"/>
  <c r="B81" i="1"/>
  <c r="B87" i="1"/>
  <c r="B88" i="1"/>
  <c r="B98" i="1"/>
  <c r="B102" i="1"/>
  <c r="B2" i="1"/>
  <c r="B3" i="1"/>
  <c r="B7" i="1"/>
  <c r="B12" i="1"/>
  <c r="B13" i="1"/>
  <c r="B16" i="1"/>
  <c r="B24" i="1"/>
  <c r="B33" i="1"/>
  <c r="B36" i="1"/>
  <c r="B38" i="1"/>
  <c r="B41" i="1"/>
  <c r="B49" i="1"/>
  <c r="B50" i="1"/>
  <c r="B55" i="1"/>
  <c r="B57" i="1"/>
  <c r="B61" i="1"/>
  <c r="B68" i="1"/>
  <c r="B73" i="1"/>
  <c r="B74" i="1"/>
  <c r="B78" i="1"/>
  <c r="B80" i="1"/>
  <c r="B82" i="1"/>
  <c r="B84" i="1"/>
  <c r="B86" i="1"/>
  <c r="B92" i="1"/>
  <c r="B96" i="1"/>
  <c r="B100" i="1"/>
  <c r="B101" i="1"/>
  <c r="B103" i="1"/>
  <c r="B105" i="1"/>
  <c r="B106" i="1"/>
  <c r="B6" i="1"/>
  <c r="AE17" i="1"/>
  <c r="AE18" i="1"/>
  <c r="AE19" i="1"/>
  <c r="AE26" i="1"/>
  <c r="AE28" i="1"/>
  <c r="AE30" i="1"/>
  <c r="AE37" i="1"/>
  <c r="AE43" i="1"/>
  <c r="AE44" i="1"/>
  <c r="AE48" i="1"/>
  <c r="AE51" i="1"/>
  <c r="AE54" i="1"/>
  <c r="AE60" i="1"/>
  <c r="AE62" i="1"/>
  <c r="AE64" i="1"/>
  <c r="AE66" i="1"/>
  <c r="AE67" i="1"/>
  <c r="AE72" i="1"/>
  <c r="AE76" i="1"/>
  <c r="AE77" i="1"/>
  <c r="AE85" i="1"/>
  <c r="AE89" i="1"/>
  <c r="AE93" i="1"/>
  <c r="AE94" i="1"/>
  <c r="AE95" i="1"/>
  <c r="AE97" i="1"/>
  <c r="AE99" i="1"/>
  <c r="AE104" i="1"/>
  <c r="AE5" i="1"/>
  <c r="AE9" i="1"/>
  <c r="AE10" i="1"/>
  <c r="AE11" i="1"/>
  <c r="AE15" i="1"/>
  <c r="AE22" i="1"/>
  <c r="AE23" i="1"/>
  <c r="AE25" i="1"/>
  <c r="AE27" i="1"/>
  <c r="AE29" i="1"/>
  <c r="AE31" i="1"/>
  <c r="AE32" i="1"/>
  <c r="AE34" i="1"/>
  <c r="AE35" i="1"/>
  <c r="AE39" i="1"/>
  <c r="AE42" i="1"/>
  <c r="AE45" i="1"/>
  <c r="AE47" i="1"/>
  <c r="AE52" i="1"/>
  <c r="AE53" i="1"/>
  <c r="AE58" i="1"/>
  <c r="AE63" i="1"/>
  <c r="AE65" i="1"/>
  <c r="AE69" i="1"/>
  <c r="AE70" i="1"/>
  <c r="AE75" i="1"/>
  <c r="AE79" i="1"/>
  <c r="AE87" i="1"/>
  <c r="AE88" i="1"/>
  <c r="AE98" i="1"/>
  <c r="AE102" i="1"/>
  <c r="AE2" i="1"/>
  <c r="AE3" i="1"/>
  <c r="AE7" i="1"/>
  <c r="AE12" i="1"/>
  <c r="AE16" i="1"/>
  <c r="AE24" i="1"/>
  <c r="AE33" i="1"/>
  <c r="AE36" i="1"/>
  <c r="AE41" i="1"/>
  <c r="AE57" i="1"/>
  <c r="AE59" i="1"/>
  <c r="AE61" i="1"/>
  <c r="AE68" i="1"/>
  <c r="AE73" i="1"/>
  <c r="AE74" i="1"/>
  <c r="AE78" i="1"/>
  <c r="AE80" i="1"/>
  <c r="AE82" i="1"/>
  <c r="AE84" i="1"/>
  <c r="AE86" i="1"/>
  <c r="AE92" i="1"/>
  <c r="AE100" i="1"/>
  <c r="AE101" i="1"/>
  <c r="AE103" i="1"/>
  <c r="AE105" i="1"/>
  <c r="AE106" i="1"/>
  <c r="AE6" i="1"/>
  <c r="AA106" i="1" l="1"/>
  <c r="AA105" i="1"/>
  <c r="AA103" i="1"/>
  <c r="AA101" i="1"/>
  <c r="AA100" i="1"/>
  <c r="AA96" i="1"/>
  <c r="AA92" i="1"/>
  <c r="AA86" i="1"/>
  <c r="AA84" i="1"/>
  <c r="AA82" i="1"/>
  <c r="AA80" i="1"/>
  <c r="AA78" i="1"/>
  <c r="AA74" i="1"/>
  <c r="AA73" i="1"/>
  <c r="AA68" i="1"/>
  <c r="AA61" i="1"/>
  <c r="AA59" i="1"/>
  <c r="AA57" i="1"/>
  <c r="AA55" i="1"/>
  <c r="AA50" i="1"/>
  <c r="AA49" i="1"/>
  <c r="AA41" i="1"/>
  <c r="AA38" i="1"/>
  <c r="AA36" i="1"/>
  <c r="AA33" i="1"/>
  <c r="AA24" i="1"/>
  <c r="AA21" i="1"/>
  <c r="AA16" i="1"/>
  <c r="AA13" i="1"/>
  <c r="AA12" i="1"/>
  <c r="AA8" i="1"/>
  <c r="AA7" i="1"/>
  <c r="AA4" i="1"/>
  <c r="AA3" i="1"/>
  <c r="AA2" i="1"/>
  <c r="AA102" i="1"/>
  <c r="AA98" i="1"/>
  <c r="AA88" i="1"/>
  <c r="AA87" i="1"/>
  <c r="AA81" i="1"/>
  <c r="AA79" i="1"/>
  <c r="AA75" i="1"/>
  <c r="AA56" i="1"/>
  <c r="AA71" i="1"/>
  <c r="AA70" i="1"/>
  <c r="AA69" i="1"/>
  <c r="AA65" i="1"/>
  <c r="AA63" i="1"/>
  <c r="AA58" i="1"/>
  <c r="AA53" i="1"/>
  <c r="AA52" i="1"/>
  <c r="AA47" i="1"/>
  <c r="AA46" i="1"/>
  <c r="AA45" i="1"/>
  <c r="AA42" i="1"/>
  <c r="AA39" i="1"/>
  <c r="AA35" i="1"/>
  <c r="AA34" i="1"/>
  <c r="AA32" i="1"/>
  <c r="AA31" i="1"/>
  <c r="AA29" i="1"/>
  <c r="AA27" i="1"/>
  <c r="AA25" i="1"/>
  <c r="AA23" i="1"/>
  <c r="AA22" i="1"/>
  <c r="AA15" i="1"/>
  <c r="AA11" i="1"/>
  <c r="AA10" i="1"/>
  <c r="AA9" i="1"/>
  <c r="AA5" i="1"/>
  <c r="AA104" i="1"/>
  <c r="AA99" i="1"/>
  <c r="AA97" i="1"/>
  <c r="AA95" i="1"/>
  <c r="AA94" i="1"/>
  <c r="AA93" i="1"/>
  <c r="AA91" i="1"/>
  <c r="AA90" i="1"/>
  <c r="AA89" i="1"/>
  <c r="AA85" i="1"/>
  <c r="AA83" i="1"/>
  <c r="AA77" i="1"/>
  <c r="AA76" i="1"/>
  <c r="AA72" i="1"/>
  <c r="AA67" i="1"/>
  <c r="AA66" i="1"/>
  <c r="AA64" i="1"/>
  <c r="AA62" i="1"/>
  <c r="AA60" i="1"/>
  <c r="AA54" i="1"/>
  <c r="AA51" i="1"/>
  <c r="AA48" i="1"/>
  <c r="AA44" i="1"/>
  <c r="AA43" i="1"/>
  <c r="AA40" i="1"/>
  <c r="AA37" i="1"/>
  <c r="AA30" i="1"/>
  <c r="AA28" i="1"/>
  <c r="AA26" i="1"/>
  <c r="AA20" i="1"/>
  <c r="AA19" i="1"/>
  <c r="AA18" i="1"/>
  <c r="AA17" i="1"/>
  <c r="AA14" i="1"/>
  <c r="AA6" i="1"/>
</calcChain>
</file>

<file path=xl/sharedStrings.xml><?xml version="1.0" encoding="utf-8"?>
<sst xmlns="http://schemas.openxmlformats.org/spreadsheetml/2006/main" count="147" uniqueCount="145">
  <si>
    <t>Antonio Rosa de Lima</t>
  </si>
  <si>
    <t>Carmelita Maria do nascimento Fossalussa</t>
  </si>
  <si>
    <t>Cleber Antonio Papa da Silva</t>
  </si>
  <si>
    <t>Daniel Viana Figueiredo</t>
  </si>
  <si>
    <t>Dirce Valto Braz</t>
  </si>
  <si>
    <t>Edson Tadeu de Almeida</t>
  </si>
  <si>
    <t>Eunice Martinez</t>
  </si>
  <si>
    <t>Gabriel Monteiro</t>
  </si>
  <si>
    <t>Gercina verissimo da silva costa</t>
  </si>
  <si>
    <t>Ivandira Fernandes Ferreira Mendes</t>
  </si>
  <si>
    <t>Jenny Mello Leme</t>
  </si>
  <si>
    <t>José Roberto Gusmão Montes</t>
  </si>
  <si>
    <t>Joselita Alves Rodrigues</t>
  </si>
  <si>
    <t>Lea Pesso Smeke</t>
  </si>
  <si>
    <t>Luciano Nogueira Martins</t>
  </si>
  <si>
    <t>Maria Alves Brito</t>
  </si>
  <si>
    <t>Maria de Lourdes dos Santos Nascimento</t>
  </si>
  <si>
    <t>Maria do Pérpetuo Socorro</t>
  </si>
  <si>
    <t>Maria Elizeth</t>
  </si>
  <si>
    <t>Maria Inês</t>
  </si>
  <si>
    <t>Maria José da Silva Fernandes</t>
  </si>
  <si>
    <t>Maria Sidnei Barbosa</t>
  </si>
  <si>
    <t>Marlene Cano Vasques</t>
  </si>
  <si>
    <t>Marlene da Cunha Valle</t>
  </si>
  <si>
    <t>Regina Helena de Jesus Rodrigues</t>
  </si>
  <si>
    <t>Rosa Maria Camargo Pinto</t>
  </si>
  <si>
    <t>Setsuko Taminato</t>
  </si>
  <si>
    <t>Shirley Rohwdd Aviles</t>
  </si>
  <si>
    <t>Sidnei Valentim</t>
  </si>
  <si>
    <t>Solange Kalena Levy</t>
  </si>
  <si>
    <t>Sonia de Carvalho Isla Angelini</t>
  </si>
  <si>
    <t>Sônia Maria Righetto</t>
  </si>
  <si>
    <t>Sueli Pires de Araujo DAgostini</t>
  </si>
  <si>
    <t>Tania Regina Fernandez Benitez</t>
  </si>
  <si>
    <t>Vera Lucia Novaes Ribeiro</t>
  </si>
  <si>
    <t>Ana Maria Obranovich</t>
  </si>
  <si>
    <t>Aurea Andre Balthazar</t>
  </si>
  <si>
    <t>Benedita Dolores Marquezini</t>
  </si>
  <si>
    <t>Benedita Pinheiro Cunha</t>
  </si>
  <si>
    <t>Cila Ankier</t>
  </si>
  <si>
    <t>Emanuel Pinheiro</t>
  </si>
  <si>
    <t>Eneida Maria</t>
  </si>
  <si>
    <t>Eunice Dantas goncalves</t>
  </si>
  <si>
    <t>Fátima Regina</t>
  </si>
  <si>
    <t>Geni Czartona</t>
  </si>
  <si>
    <t>Harlerey Lopes dos Santos</t>
  </si>
  <si>
    <t>Hemiko Fujiwara</t>
  </si>
  <si>
    <t>Ilka Gonsiorowski de Camargo</t>
  </si>
  <si>
    <t>Irineia Caresi</t>
  </si>
  <si>
    <t>Ivone Galante</t>
  </si>
  <si>
    <t>José Octavio Siqueira Cunha</t>
  </si>
  <si>
    <t>Julia Preplotzki Brandão</t>
  </si>
  <si>
    <t>Kioshi Shimizu</t>
  </si>
  <si>
    <t>Kiyoko Taminato Gomes da Silva</t>
  </si>
  <si>
    <t>Luis Vargas Quesada</t>
  </si>
  <si>
    <t>Marco Tanchella</t>
  </si>
  <si>
    <t>Maria das Graças Barreto</t>
  </si>
  <si>
    <t>Maria do Socorro Silva</t>
  </si>
  <si>
    <t>Maria Helena Granata</t>
  </si>
  <si>
    <t>Maria Lúcia Ferreira da Silva</t>
  </si>
  <si>
    <t>Maria Marlene França</t>
  </si>
  <si>
    <t>Maria Rosa Maiante</t>
  </si>
  <si>
    <t>Maria Silvia Barrios</t>
  </si>
  <si>
    <t>Marielze de Oliveira Brigo</t>
  </si>
  <si>
    <t>Miguel Paulo Santner</t>
  </si>
  <si>
    <t>Nilza das Graças Silva de Paula</t>
  </si>
  <si>
    <t>Rubens Aparecido dos Santos</t>
  </si>
  <si>
    <t>Sérgio Pinto Carneiro</t>
  </si>
  <si>
    <t>Suely Farah</t>
  </si>
  <si>
    <t>Valeria Iazzetta</t>
  </si>
  <si>
    <t>Almerinda Duarte de Almeida</t>
  </si>
  <si>
    <t>Altonízzio Machado</t>
  </si>
  <si>
    <t>Álvaro Escrivão</t>
  </si>
  <si>
    <t>Aparecida Luiza da Silva Magalhães</t>
  </si>
  <si>
    <t>Augustin Mangia Gomes</t>
  </si>
  <si>
    <t>Benne Catanante</t>
  </si>
  <si>
    <t>Carlos Roberto Marostega</t>
  </si>
  <si>
    <t>Cinthia Souza Ribeiro</t>
  </si>
  <si>
    <t>Eduardo Klein</t>
  </si>
  <si>
    <t>Erotildes Maria</t>
  </si>
  <si>
    <t>Iara Souza Barufaldi</t>
  </si>
  <si>
    <t>Isabel Grant Marzano Ricci</t>
  </si>
  <si>
    <t>Ivanete Rodrigues de Souza</t>
  </si>
  <si>
    <t>João Batista de Matos Filho</t>
  </si>
  <si>
    <t>Leonor de Andrade</t>
  </si>
  <si>
    <t>Lourenço Dias de Camargo Junior</t>
  </si>
  <si>
    <t>Maria Aparecida Moreno Costa</t>
  </si>
  <si>
    <t>Maria Benedita Yoshizawa</t>
  </si>
  <si>
    <t>Maria de Jesus Machado dos Santos</t>
  </si>
  <si>
    <t>Maria do Ceu do Olival Barbara Domingues</t>
  </si>
  <si>
    <t>Maria Julia de Oliveira</t>
  </si>
  <si>
    <t>Maria Telma Pereira Cohen</t>
  </si>
  <si>
    <t>Maria Tereza Carvalho</t>
  </si>
  <si>
    <t>Marlene Lopes de Oliveira Miranda</t>
  </si>
  <si>
    <t>Natalia Andrade de Lima</t>
  </si>
  <si>
    <t>Paulo Bueno de Morais</t>
  </si>
  <si>
    <t>Renilda almeida do nascimento</t>
  </si>
  <si>
    <t>Roseana Lacava</t>
  </si>
  <si>
    <t>Silvia Sobral</t>
  </si>
  <si>
    <t>Sônia Regina da Silva</t>
  </si>
  <si>
    <t>Terezinha Coes Gama Santos</t>
  </si>
  <si>
    <t>Thais Helena Lemos Pinto</t>
  </si>
  <si>
    <t>Vera Lucia dos Santos</t>
  </si>
  <si>
    <t>Vitória Vitalina de Lima Machado</t>
  </si>
  <si>
    <t>Wilma Ferreira de Sá</t>
  </si>
  <si>
    <t>-</t>
  </si>
  <si>
    <t>psqi_score</t>
  </si>
  <si>
    <t>physical_domain</t>
  </si>
  <si>
    <t>mental_domain</t>
  </si>
  <si>
    <t>gai_score</t>
  </si>
  <si>
    <t>gds_score</t>
  </si>
  <si>
    <t>sleep</t>
  </si>
  <si>
    <t>name</t>
  </si>
  <si>
    <t>waist_circunference</t>
  </si>
  <si>
    <t>hgs_maior</t>
  </si>
  <si>
    <t>total_lean_mass</t>
  </si>
  <si>
    <t>total_fat_mass</t>
  </si>
  <si>
    <t>trunk_fat_mass</t>
  </si>
  <si>
    <t>vat_area</t>
  </si>
  <si>
    <t>vat_mass</t>
  </si>
  <si>
    <t>hba1c</t>
  </si>
  <si>
    <t>glucose</t>
  </si>
  <si>
    <t>insulin</t>
  </si>
  <si>
    <t>homa_ir</t>
  </si>
  <si>
    <t>delta_weight_loss</t>
  </si>
  <si>
    <t>bmi</t>
  </si>
  <si>
    <t>appendicular_lean_mass</t>
  </si>
  <si>
    <t>percentual_fat_mass</t>
  </si>
  <si>
    <t>appendicular_lean_mass/bmi</t>
  </si>
  <si>
    <t>thyroid_drugs</t>
  </si>
  <si>
    <t>statins</t>
  </si>
  <si>
    <t>glucose_lowering_drugs</t>
  </si>
  <si>
    <t>anxiolytics_or_antidepressant</t>
  </si>
  <si>
    <t>anti_hypertensives</t>
  </si>
  <si>
    <t>osteopenia</t>
  </si>
  <si>
    <t>dislipidemia</t>
  </si>
  <si>
    <t>rheumatic_diseases</t>
  </si>
  <si>
    <t>psychiatric_diseases</t>
  </si>
  <si>
    <t>hypertension</t>
  </si>
  <si>
    <t>diabetes</t>
  </si>
  <si>
    <t>gender(0F;1M)</t>
  </si>
  <si>
    <t>auc_glicose</t>
  </si>
  <si>
    <t>auc_insulin</t>
  </si>
  <si>
    <t>auc_ppc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</si>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</sst>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0">
    <xf numFmtId="0" fontId="0" fillId="0" borderId="0" xfId="0"/>
    <xf numFmtId="0" fontId="2" fillId="33" borderId="10" xfId="0" applyFont="1" applyFill="1" applyBorder="1" applyAlignment="1">
      <alignment horizontal="center" vertical="center" wrapText="1"/>
    </xf>
    <xf numFmtId="0" fontId="3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4" fillId="33" borderId="10" xfId="0" applyFont="1" applyFill="1" applyBorder="1" applyAlignment="1">
      <alignment horizontal="center"/>
    </xf>
    <xf numFmtId="2" fontId="0" fillId="33" borderId="10" xfId="0" applyNumberFormat="1" applyFill="1" applyBorder="1" applyAlignment="1">
      <alignment horizontal="center"/>
    </xf>
    <xf numFmtId="0" fontId="0" fillId="33" borderId="10" xfId="0" applyFill="1" applyBorder="1"/>
    <xf numFmtId="2" fontId="1" fillId="34" borderId="10" xfId="0" applyNumberFormat="1" applyFont="1" applyFill="1" applyBorder="1" applyAlignment="1">
      <alignment horizontal="center"/>
    </xf>
    <xf numFmtId="2" fontId="1" fillId="33" borderId="10" xfId="0" applyNumberFormat="1" applyFont="1" applyFill="1" applyBorder="1" applyAlignment="1">
      <alignment horizontal="center"/>
    </xf>
    <xf numFmtId="2" fontId="1" fillId="36" borderId="10" xfId="0" applyNumberFormat="1" applyFont="1" applyFill="1" applyBorder="1" applyAlignment="1">
      <alignment horizontal="center"/>
    </xf>
    <xf numFmtId="0" fontId="1" fillId="34" borderId="10" xfId="0" applyFont="1" applyFill="1" applyBorder="1"/>
    <xf numFmtId="0" fontId="1" fillId="36" borderId="10" xfId="0" applyFont="1" applyFill="1" applyBorder="1"/>
    <xf numFmtId="0" fontId="2" fillId="34" borderId="10" xfId="0" applyFont="1" applyFill="1" applyBorder="1" applyAlignment="1">
      <alignment horizontal="center" vertical="center" wrapText="1"/>
    </xf>
    <xf numFmtId="164" fontId="2" fillId="35" borderId="10" xfId="0" applyNumberFormat="1" applyFont="1" applyFill="1" applyBorder="1" applyAlignment="1">
      <alignment horizontal="center" vertical="center" wrapText="1"/>
    </xf>
    <xf numFmtId="0" fontId="2" fillId="35" borderId="10" xfId="0" applyFont="1" applyFill="1" applyBorder="1" applyAlignment="1">
      <alignment horizontal="center" vertical="center" wrapText="1"/>
    </xf>
    <xf numFmtId="164" fontId="2" fillId="36" borderId="10" xfId="0" applyNumberFormat="1" applyFont="1" applyFill="1" applyBorder="1" applyAlignment="1">
      <alignment horizontal="center" vertical="center" wrapText="1"/>
    </xf>
    <xf numFmtId="0" fontId="2" fillId="33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3" borderId="10" xfId="0" applyFill="1" applyBorder="1" applyAlignment="1">
      <alignment wrapText="1"/>
    </xf>
    <xf numFmtId="0" fontId="0" fillId="34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164" fontId="0" fillId="37" borderId="10" xfId="0" applyNumberFormat="1" applyFill="1" applyBorder="1" applyAlignment="1">
      <alignment horizontal="center"/>
    </xf>
    <xf numFmtId="164" fontId="0" fillId="37" borderId="10" xfId="0" applyNumberFormat="1" applyFill="1" applyBorder="1"/>
    <xf numFmtId="0" fontId="0" fillId="38" borderId="10" xfId="0" applyFill="1" applyBorder="1" applyAlignment="1">
      <alignment horizontal="center" wrapText="1"/>
    </xf>
    <xf numFmtId="164" fontId="0" fillId="38" borderId="10" xfId="0" applyNumberFormat="1" applyFill="1" applyBorder="1" applyAlignment="1">
      <alignment horizontal="center" wrapText="1"/>
    </xf>
    <xf numFmtId="0" fontId="0" fillId="38" borderId="10" xfId="0" applyFill="1" applyBorder="1" applyAlignment="1">
      <alignment horizontal="center"/>
    </xf>
    <xf numFmtId="0" fontId="0" fillId="33" borderId="10" xfId="0" applyFill="1" applyBorder="1" applyAlignment="1">
      <alignment horizontal="center" wrapText="1"/>
    </xf>
    <xf numFmtId="164" fontId="0" fillId="33" borderId="10" xfId="0" applyNumberFormat="1" applyFill="1" applyBorder="1" applyAlignment="1">
      <alignment horizontal="center" wrapText="1"/>
    </xf>
    <xf numFmtId="164" fontId="0" fillId="33" borderId="10" xfId="0" applyNumberFormat="1" applyFill="1" applyBorder="1" applyAlignment="1">
      <alignment horizontal="center"/>
    </xf>
    <xf numFmtId="0" fontId="0" fillId="37" borderId="10" xfId="0" applyFill="1" applyBorder="1"/>
    <xf numFmtId="164" fontId="0" fillId="38" borderId="10" xfId="0" applyNumberFormat="1" applyFill="1" applyBorder="1" applyAlignment="1">
      <alignment horizontal="center"/>
    </xf>
    <xf numFmtId="0" fontId="0" fillId="38" borderId="10" xfId="0" applyFill="1" applyBorder="1"/>
    <xf numFmtId="1" fontId="0" fillId="33" borderId="10" xfId="0" applyNumberFormat="1" applyFill="1" applyBorder="1" applyAlignment="1">
      <alignment horizontal="center"/>
    </xf>
    <xf numFmtId="0" fontId="0" fillId="37" borderId="10" xfId="0" applyFill="1" applyBorder="1" applyAlignment="1">
      <alignment horizontal="center" wrapText="1"/>
    </xf>
    <xf numFmtId="164" fontId="0" fillId="37" borderId="10" xfId="0" applyNumberFormat="1" applyFill="1" applyBorder="1" applyAlignment="1">
      <alignment horizontal="center" wrapText="1"/>
    </xf>
    <xf numFmtId="2" fontId="0" fillId="37" borderId="10" xfId="0" applyNumberFormat="1" applyFill="1" applyBorder="1" applyAlignment="1">
      <alignment horizontal="center"/>
    </xf>
    <xf numFmtId="0" fontId="21" fillId="33" borderId="10" xfId="0" applyFont="1" applyFill="1" applyBorder="1" applyAlignment="1">
      <alignment wrapText="1"/>
    </xf>
    <xf numFmtId="0" fontId="0" fillId="33" borderId="10" xfId="0" applyFill="1" applyBorder="1" applyAlignment="1">
      <alignment vertical="center" wrapText="1"/>
    </xf>
    <xf numFmtId="0" fontId="22" fillId="33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2" fontId="0" fillId="33" borderId="10" xfId="0" applyNumberFormat="1" applyFill="1" applyBorder="1" applyAlignment="1">
      <alignment horizontal="center" vertical="center"/>
    </xf>
    <xf numFmtId="164" fontId="0" fillId="33" borderId="10" xfId="0" applyNumberFormat="1" applyFill="1" applyBorder="1" applyAlignment="1">
      <alignment horizontal="center" vertical="center"/>
    </xf>
    <xf numFmtId="1" fontId="0" fillId="36" borderId="10" xfId="0" applyNumberFormat="1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164" fontId="0" fillId="37" borderId="10" xfId="0" applyNumberFormat="1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 wrapText="1"/>
    </xf>
    <xf numFmtId="164" fontId="0" fillId="38" borderId="10" xfId="0" applyNumberFormat="1" applyFill="1" applyBorder="1" applyAlignment="1">
      <alignment horizontal="center" vertical="center" wrapText="1"/>
    </xf>
    <xf numFmtId="0" fontId="0" fillId="38" borderId="10" xfId="0" applyFill="1" applyBorder="1" applyAlignment="1">
      <alignment horizontal="center" vertical="center"/>
    </xf>
    <xf numFmtId="164" fontId="20" fillId="33" borderId="10" xfId="0" applyNumberFormat="1" applyFont="1" applyFill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165" fontId="22" fillId="33" borderId="10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 vertical="center" wrapText="1"/>
    </xf>
    <xf numFmtId="0" fontId="0" fillId="0" borderId="10" xfId="0" applyBorder="1"/>
    <xf numFmtId="0" fontId="20" fillId="39" borderId="10" xfId="0" applyFont="1" applyFill="1" applyBorder="1" applyAlignment="1">
      <alignment horizontal="center" vertical="center"/>
    </xf>
    <xf numFmtId="0" fontId="22" fillId="39" borderId="10" xfId="0" applyFont="1" applyFill="1" applyBorder="1" applyAlignment="1">
      <alignment horizontal="center"/>
    </xf>
    <xf numFmtId="2" fontId="0" fillId="39" borderId="10" xfId="0" applyNumberFormat="1" applyFill="1" applyBorder="1" applyAlignment="1">
      <alignment horizontal="center"/>
    </xf>
    <xf numFmtId="0" fontId="0" fillId="39" borderId="10" xfId="0" applyFill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2" fontId="0" fillId="0" borderId="10" xfId="0" applyNumberFormat="1" applyBorder="1"/>
    <xf numFmtId="0" fontId="23" fillId="0" borderId="11" xfId="0" applyFont="1" applyBorder="1" applyAlignment="1">
      <alignment horizontal="center" vertical="center" wrapText="1"/>
    </xf>
    <xf numFmtId="0" fontId="24" fillId="38" borderId="12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/>
    </xf>
    <xf numFmtId="0" fontId="25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92"/>
  <sheetViews>
    <sheetView tabSelected="1" workbookViewId="0">
      <pane xSplit="1" topLeftCell="B1" activePane="topRight" state="frozen"/>
      <selection pane="topRight" activeCell="F108" sqref="F108"/>
    </sheetView>
  </sheetViews>
  <sheetFormatPr defaultRowHeight="14.4" x14ac:dyDescent="0.3"/>
  <cols>
    <col min="1" max="1" width="26.88671875" style="6" customWidth="1"/>
    <col min="2" max="2" width="14.88671875" style="3" customWidth="1"/>
    <col min="3" max="3" width="17.6640625" style="61" customWidth="1"/>
    <col min="4" max="4" width="14.44140625"/>
    <col min="5" max="5" width="14.44140625" style="69"/>
    <col min="6" max="6" width="17" style="6" customWidth="1"/>
    <col min="7" max="7" width="17.33203125" style="6" customWidth="1"/>
    <col min="8" max="8" width="21.109375" style="6" customWidth="1"/>
    <col min="9" max="9" width="19.5546875" style="6" customWidth="1"/>
    <col min="10" max="10" width="16.5546875" style="6" customWidth="1"/>
    <col min="11" max="11" width="16.77734375" style="6" customWidth="1"/>
    <col min="12" max="12" width="19.77734375" style="6" customWidth="1"/>
    <col min="13" max="13" width="25" style="6" customWidth="1"/>
    <col min="14" max="14" width="14.21875" style="6" customWidth="1"/>
    <col min="15" max="15" width="17.21875" style="6" customWidth="1"/>
    <col min="16" max="16" width="26.88671875" style="6" customWidth="1"/>
    <col min="17" max="18" width="17.6640625" style="3" customWidth="1"/>
    <col min="19" max="19" width="17.88671875" style="6" customWidth="1"/>
    <col min="20" max="20" width="26.33203125" style="6" customWidth="1"/>
    <col min="21" max="21" width="20.33203125" style="6" customWidth="1"/>
    <col min="22" max="22" width="18.109375" style="6" customWidth="1"/>
    <col min="23" max="23" width="16.44140625" style="6" customWidth="1"/>
    <col min="24" max="24" width="18.109375" style="6" customWidth="1"/>
    <col min="25" max="25" width="22.5546875" style="6" customWidth="1"/>
    <col min="26" max="26" width="13.21875" style="6" customWidth="1"/>
    <col min="27" max="27" width="14" style="6" customWidth="1"/>
    <col min="28" max="28" width="16.21875" style="6" customWidth="1"/>
    <col min="29" max="29" width="13.21875" style="6" customWidth="1"/>
    <col min="30" max="30" width="8.88671875" style="6"/>
    <col min="31" max="31" width="8.88671875" style="3"/>
    <col min="32" max="32" width="16.6640625" style="6" customWidth="1"/>
    <col min="33" max="33" width="8.88671875" style="6"/>
    <col min="34" max="34" width="23.44140625" style="3" customWidth="1"/>
    <col min="35" max="35" width="36" style="52" customWidth="1"/>
    <col min="36" max="36" width="22.109375" style="55" customWidth="1"/>
    <col min="37" max="37" width="15.21875" style="57" customWidth="1"/>
    <col min="38" max="38" width="16.109375" style="57" customWidth="1"/>
    <col min="39" max="39" width="14.77734375" style="57" customWidth="1"/>
  </cols>
  <sheetData>
    <row r="1" spans="1:39" s="18" customFormat="1" x14ac:dyDescent="0.3">
      <c r="A1" s="1" t="s">
        <v>112</v>
      </c>
      <c r="B1" s="1" t="s">
        <v>111</v>
      </c>
      <c r="C1" s="58" t="s">
        <v>106</v>
      </c>
      <c r="D1" s="1" t="s">
        <v>140</v>
      </c>
      <c r="E1" s="64" t="s">
        <v>144</v>
      </c>
      <c r="F1" s="1" t="s">
        <v>139</v>
      </c>
      <c r="G1" s="1" t="s">
        <v>138</v>
      </c>
      <c r="H1" s="1" t="s">
        <v>137</v>
      </c>
      <c r="I1" s="1" t="s">
        <v>136</v>
      </c>
      <c r="J1" s="1" t="s">
        <v>135</v>
      </c>
      <c r="K1" s="1" t="s">
        <v>134</v>
      </c>
      <c r="L1" s="1" t="s">
        <v>133</v>
      </c>
      <c r="M1" s="1" t="s">
        <v>131</v>
      </c>
      <c r="N1" s="1" t="s">
        <v>130</v>
      </c>
      <c r="O1" s="1" t="s">
        <v>129</v>
      </c>
      <c r="P1" s="1" t="s">
        <v>132</v>
      </c>
      <c r="Q1" s="17" t="s">
        <v>107</v>
      </c>
      <c r="R1" s="17" t="s">
        <v>108</v>
      </c>
      <c r="S1" s="12" t="s">
        <v>109</v>
      </c>
      <c r="T1" s="12" t="s">
        <v>110</v>
      </c>
      <c r="U1" s="1" t="s">
        <v>113</v>
      </c>
      <c r="V1" s="1" t="s">
        <v>114</v>
      </c>
      <c r="W1" s="13" t="s">
        <v>115</v>
      </c>
      <c r="X1" s="13" t="s">
        <v>116</v>
      </c>
      <c r="Y1" s="13" t="s">
        <v>117</v>
      </c>
      <c r="Z1" s="14" t="s">
        <v>119</v>
      </c>
      <c r="AA1" s="15" t="s">
        <v>118</v>
      </c>
      <c r="AB1" s="16" t="s">
        <v>120</v>
      </c>
      <c r="AC1" s="16" t="s">
        <v>121</v>
      </c>
      <c r="AD1" s="16" t="s">
        <v>122</v>
      </c>
      <c r="AE1" s="16" t="s">
        <v>123</v>
      </c>
      <c r="AF1" s="17" t="s">
        <v>124</v>
      </c>
      <c r="AG1" s="17" t="s">
        <v>125</v>
      </c>
      <c r="AH1" s="17" t="s">
        <v>126</v>
      </c>
      <c r="AI1" s="50" t="s">
        <v>128</v>
      </c>
      <c r="AJ1" s="17" t="s">
        <v>127</v>
      </c>
      <c r="AK1" s="62" t="s">
        <v>142</v>
      </c>
      <c r="AL1" s="62" t="s">
        <v>143</v>
      </c>
      <c r="AM1" s="62" t="s">
        <v>141</v>
      </c>
    </row>
    <row r="2" spans="1:39" x14ac:dyDescent="0.3">
      <c r="A2" s="19" t="s">
        <v>70</v>
      </c>
      <c r="B2" s="27" t="str">
        <f>IF(C2&gt;5,"ruim","bom")</f>
        <v>ruim</v>
      </c>
      <c r="C2" s="59">
        <v>7</v>
      </c>
      <c r="D2" s="27">
        <v>0</v>
      </c>
      <c r="E2" s="65">
        <v>70</v>
      </c>
      <c r="F2" s="27">
        <v>0</v>
      </c>
      <c r="G2" s="27">
        <v>1</v>
      </c>
      <c r="H2" s="27">
        <v>1</v>
      </c>
      <c r="I2" s="27">
        <v>0</v>
      </c>
      <c r="J2" s="27">
        <v>1</v>
      </c>
      <c r="K2" s="27">
        <v>0</v>
      </c>
      <c r="L2" s="27">
        <v>1</v>
      </c>
      <c r="M2" s="27">
        <v>0</v>
      </c>
      <c r="N2" s="27">
        <v>1</v>
      </c>
      <c r="O2" s="27">
        <v>0</v>
      </c>
      <c r="P2" s="27">
        <v>1</v>
      </c>
      <c r="Q2" s="3">
        <v>40</v>
      </c>
      <c r="R2" s="3">
        <v>42</v>
      </c>
      <c r="S2" s="20">
        <v>15</v>
      </c>
      <c r="T2" s="20">
        <v>8</v>
      </c>
      <c r="U2" s="24">
        <v>112</v>
      </c>
      <c r="V2" s="24">
        <v>26</v>
      </c>
      <c r="W2" s="25">
        <v>44.813000000000002</v>
      </c>
      <c r="X2" s="25">
        <v>55.942</v>
      </c>
      <c r="Y2" s="25">
        <v>28.6891</v>
      </c>
      <c r="Z2" s="24">
        <v>0.65300000000000002</v>
      </c>
      <c r="AA2" s="44">
        <f t="shared" ref="AA2:AA33" si="0">Z2*1000</f>
        <v>653</v>
      </c>
      <c r="AB2" s="26">
        <v>5.7</v>
      </c>
      <c r="AC2" s="26">
        <v>91</v>
      </c>
      <c r="AD2" s="26">
        <v>25.7</v>
      </c>
      <c r="AE2" s="5">
        <f>AC2*AD2/405</f>
        <v>5.7745679012345672</v>
      </c>
      <c r="AF2" s="39">
        <v>-5.0999999999999996</v>
      </c>
      <c r="AG2" s="39">
        <v>43.3</v>
      </c>
      <c r="AH2" s="39">
        <v>18.254000000000001</v>
      </c>
      <c r="AI2" s="51">
        <v>0.42199999999999999</v>
      </c>
      <c r="AJ2" s="53">
        <v>54.7</v>
      </c>
      <c r="AK2" s="63">
        <v>1554.303926809411</v>
      </c>
      <c r="AL2" s="63">
        <v>95.20770938497742</v>
      </c>
      <c r="AM2" s="63">
        <v>618.35224942498735</v>
      </c>
    </row>
    <row r="3" spans="1:39" x14ac:dyDescent="0.3">
      <c r="A3" s="19" t="s">
        <v>71</v>
      </c>
      <c r="B3" s="27" t="str">
        <f>IF(C3&gt;5,"ruim","bom")</f>
        <v>ruim</v>
      </c>
      <c r="C3" s="59">
        <v>6</v>
      </c>
      <c r="D3" s="27">
        <v>1</v>
      </c>
      <c r="E3" s="66">
        <v>71</v>
      </c>
      <c r="F3" s="27">
        <v>0</v>
      </c>
      <c r="G3" s="27">
        <v>0</v>
      </c>
      <c r="H3" s="27">
        <v>0</v>
      </c>
      <c r="I3" s="27">
        <v>0</v>
      </c>
      <c r="J3" s="27">
        <v>1</v>
      </c>
      <c r="K3" s="27">
        <v>0</v>
      </c>
      <c r="L3" s="27">
        <v>0</v>
      </c>
      <c r="M3" s="27">
        <v>0</v>
      </c>
      <c r="N3" s="27">
        <v>1</v>
      </c>
      <c r="O3" s="27">
        <v>0</v>
      </c>
      <c r="P3" s="27">
        <v>0</v>
      </c>
      <c r="Q3" s="3">
        <v>94</v>
      </c>
      <c r="R3" s="3">
        <v>93</v>
      </c>
      <c r="S3" s="20">
        <v>5</v>
      </c>
      <c r="T3" s="20">
        <v>1</v>
      </c>
      <c r="U3" s="27">
        <v>107.1</v>
      </c>
      <c r="V3" s="24">
        <v>28</v>
      </c>
      <c r="W3" s="28">
        <v>46.158999999999999</v>
      </c>
      <c r="X3" s="28">
        <v>29.413799999999998</v>
      </c>
      <c r="Y3" s="28">
        <v>16.46</v>
      </c>
      <c r="Z3" s="27">
        <v>1.212</v>
      </c>
      <c r="AA3" s="44">
        <f t="shared" si="0"/>
        <v>1212</v>
      </c>
      <c r="AB3" s="3">
        <v>5.9</v>
      </c>
      <c r="AC3" s="3">
        <v>108</v>
      </c>
      <c r="AD3" s="3">
        <v>8</v>
      </c>
      <c r="AE3" s="5">
        <f>AC3*AD3/405</f>
        <v>2.1333333333333333</v>
      </c>
      <c r="AF3" s="39">
        <v>-7.2</v>
      </c>
      <c r="AG3" s="39">
        <v>30</v>
      </c>
      <c r="AH3" s="39">
        <v>19.579999999999998</v>
      </c>
      <c r="AI3" s="51">
        <v>0.65300000000000002</v>
      </c>
      <c r="AJ3" s="53">
        <v>37.6</v>
      </c>
      <c r="AK3" s="63">
        <v>147.65</v>
      </c>
      <c r="AL3" s="63">
        <v>19.37</v>
      </c>
      <c r="AM3" s="63">
        <v>764</v>
      </c>
    </row>
    <row r="4" spans="1:39" x14ac:dyDescent="0.3">
      <c r="A4" s="19" t="s">
        <v>72</v>
      </c>
      <c r="B4" s="56"/>
      <c r="C4" s="59"/>
      <c r="D4" s="56">
        <v>1</v>
      </c>
      <c r="E4" s="67">
        <v>72</v>
      </c>
      <c r="F4" s="56">
        <v>0</v>
      </c>
      <c r="G4" s="56">
        <v>0</v>
      </c>
      <c r="H4" s="56">
        <v>1</v>
      </c>
      <c r="I4" s="56">
        <v>0</v>
      </c>
      <c r="J4" s="56">
        <v>0</v>
      </c>
      <c r="K4" s="56">
        <v>1</v>
      </c>
      <c r="L4" s="56">
        <v>0</v>
      </c>
      <c r="M4" s="56">
        <v>0</v>
      </c>
      <c r="N4" s="56">
        <v>0</v>
      </c>
      <c r="O4" s="56">
        <v>0</v>
      </c>
      <c r="P4" s="56">
        <v>1</v>
      </c>
      <c r="Q4" s="3">
        <v>66</v>
      </c>
      <c r="R4" s="3">
        <v>53</v>
      </c>
      <c r="S4" s="20">
        <v>5</v>
      </c>
      <c r="T4" s="20">
        <v>5</v>
      </c>
      <c r="U4" s="3">
        <v>109</v>
      </c>
      <c r="V4" s="3">
        <v>26</v>
      </c>
      <c r="W4" s="29">
        <v>56.44</v>
      </c>
      <c r="X4" s="3">
        <v>40.119399999999999</v>
      </c>
      <c r="Y4" s="29">
        <v>21.873999999999999</v>
      </c>
      <c r="Z4" s="3">
        <v>1.157</v>
      </c>
      <c r="AA4" s="44">
        <f t="shared" si="0"/>
        <v>1157</v>
      </c>
      <c r="AB4" s="3">
        <v>5.4</v>
      </c>
      <c r="AC4" s="3">
        <v>99</v>
      </c>
      <c r="AE4" s="5"/>
      <c r="AF4" s="39">
        <v>-6.1</v>
      </c>
      <c r="AG4" s="39">
        <v>34.1</v>
      </c>
      <c r="AH4" s="39">
        <v>25.631</v>
      </c>
      <c r="AI4" s="51">
        <v>0.752</v>
      </c>
      <c r="AJ4" s="53">
        <v>40.5</v>
      </c>
      <c r="AK4" s="63">
        <v>503.25648721440223</v>
      </c>
      <c r="AL4" s="63">
        <v>34.134461621692559</v>
      </c>
      <c r="AM4" s="63">
        <v>517.5</v>
      </c>
    </row>
    <row r="5" spans="1:39" x14ac:dyDescent="0.3">
      <c r="A5" s="19" t="s">
        <v>35</v>
      </c>
      <c r="B5" s="27" t="str">
        <f>IF(C5&gt;5,"ruim","bom")</f>
        <v>ruim</v>
      </c>
      <c r="C5" s="59">
        <v>7</v>
      </c>
      <c r="D5" s="27">
        <v>0</v>
      </c>
      <c r="E5" s="67">
        <v>75</v>
      </c>
      <c r="F5" s="27">
        <v>0</v>
      </c>
      <c r="G5" s="27">
        <v>1</v>
      </c>
      <c r="H5" s="27">
        <v>0</v>
      </c>
      <c r="I5" s="27">
        <v>0</v>
      </c>
      <c r="J5" s="27">
        <v>0</v>
      </c>
      <c r="K5" s="27">
        <v>0</v>
      </c>
      <c r="L5" s="27">
        <v>1</v>
      </c>
      <c r="M5" s="27">
        <v>0</v>
      </c>
      <c r="N5" s="27">
        <v>0</v>
      </c>
      <c r="O5" s="27">
        <v>0</v>
      </c>
      <c r="P5" s="27">
        <v>0</v>
      </c>
      <c r="Q5" s="3">
        <v>75</v>
      </c>
      <c r="R5" s="3">
        <v>72</v>
      </c>
      <c r="S5" s="20">
        <v>2</v>
      </c>
      <c r="T5" s="20">
        <v>0</v>
      </c>
      <c r="U5" s="3">
        <v>106</v>
      </c>
      <c r="V5" s="3">
        <v>16</v>
      </c>
      <c r="W5" s="29">
        <v>40.323999999999998</v>
      </c>
      <c r="X5" s="29">
        <v>45.6496</v>
      </c>
      <c r="Y5" s="29">
        <v>20.7773</v>
      </c>
      <c r="Z5" s="3">
        <v>1.2589999999999999</v>
      </c>
      <c r="AA5" s="44">
        <f t="shared" si="0"/>
        <v>1259</v>
      </c>
      <c r="AB5" s="3">
        <v>5.3</v>
      </c>
      <c r="AC5" s="3">
        <v>96</v>
      </c>
      <c r="AD5" s="3">
        <v>16</v>
      </c>
      <c r="AE5" s="5">
        <f>AC5*AD5/405</f>
        <v>3.7925925925925927</v>
      </c>
      <c r="AF5" s="39">
        <v>-6.4</v>
      </c>
      <c r="AG5" s="39">
        <v>36.049999999999997</v>
      </c>
      <c r="AH5" s="39">
        <v>16.202000000000002</v>
      </c>
      <c r="AI5" s="51">
        <v>0.44900000000000001</v>
      </c>
      <c r="AJ5" s="53">
        <v>51.9</v>
      </c>
      <c r="AK5" s="63">
        <v>332.5</v>
      </c>
      <c r="AL5" s="63">
        <v>45.180000000000007</v>
      </c>
      <c r="AM5" s="63">
        <v>650.5</v>
      </c>
    </row>
    <row r="6" spans="1:39" x14ac:dyDescent="0.3">
      <c r="A6" s="38" t="s">
        <v>0</v>
      </c>
      <c r="B6" s="27" t="str">
        <f>IF(C6&gt;5,"ruim","bom")</f>
        <v>bom</v>
      </c>
      <c r="C6" s="59">
        <v>3</v>
      </c>
      <c r="D6" s="27">
        <v>1</v>
      </c>
      <c r="E6" s="67">
        <v>74</v>
      </c>
      <c r="F6" s="27">
        <v>0</v>
      </c>
      <c r="G6" s="27">
        <v>1</v>
      </c>
      <c r="H6" s="27">
        <v>0</v>
      </c>
      <c r="I6" s="27">
        <v>0</v>
      </c>
      <c r="J6" s="27">
        <v>0</v>
      </c>
      <c r="K6" s="27">
        <v>1</v>
      </c>
      <c r="L6" s="27">
        <v>1</v>
      </c>
      <c r="M6" s="27">
        <v>0</v>
      </c>
      <c r="N6" s="27">
        <v>0</v>
      </c>
      <c r="O6" s="27">
        <v>1</v>
      </c>
      <c r="P6" s="27">
        <v>0</v>
      </c>
      <c r="Q6" s="3">
        <v>58</v>
      </c>
      <c r="R6" s="3">
        <v>98</v>
      </c>
      <c r="S6" s="40">
        <v>6</v>
      </c>
      <c r="T6" s="40">
        <v>1</v>
      </c>
      <c r="U6" s="41">
        <v>116.3</v>
      </c>
      <c r="V6" s="42">
        <v>28</v>
      </c>
      <c r="W6" s="43">
        <v>40.155999999999999</v>
      </c>
      <c r="X6" s="43">
        <v>30.68</v>
      </c>
      <c r="Y6" s="43">
        <v>18.564</v>
      </c>
      <c r="Z6" s="41">
        <v>1.6679999999999999</v>
      </c>
      <c r="AA6" s="44">
        <f t="shared" si="0"/>
        <v>1668</v>
      </c>
      <c r="AB6" s="41">
        <v>5.8</v>
      </c>
      <c r="AC6" s="41">
        <v>81</v>
      </c>
      <c r="AD6" s="41">
        <v>8.1999999999999993</v>
      </c>
      <c r="AE6" s="3">
        <f>AC6*AD6/405</f>
        <v>1.64</v>
      </c>
      <c r="AF6" s="39">
        <v>-1.7</v>
      </c>
      <c r="AG6" s="39">
        <v>32.1</v>
      </c>
      <c r="AH6" s="39">
        <v>16.864999999999998</v>
      </c>
      <c r="AI6" s="51">
        <v>0.52500000000000002</v>
      </c>
      <c r="AJ6" s="53">
        <v>42.3</v>
      </c>
      <c r="AK6" s="63">
        <v>209.1</v>
      </c>
      <c r="AL6" s="63">
        <v>38.86999999999999</v>
      </c>
      <c r="AM6" s="63">
        <v>501.5</v>
      </c>
    </row>
    <row r="7" spans="1:39" ht="28.8" x14ac:dyDescent="0.3">
      <c r="A7" s="19" t="s">
        <v>73</v>
      </c>
      <c r="B7" s="56" t="str">
        <f>IF(C7&gt;5,"ruim","bom")</f>
        <v>ruim</v>
      </c>
      <c r="C7" s="59">
        <v>11</v>
      </c>
      <c r="D7" s="56">
        <v>0</v>
      </c>
      <c r="E7" s="67">
        <v>69</v>
      </c>
      <c r="F7" s="56">
        <v>1</v>
      </c>
      <c r="G7" s="56">
        <v>1</v>
      </c>
      <c r="H7" s="56">
        <v>0</v>
      </c>
      <c r="I7" s="56">
        <v>0</v>
      </c>
      <c r="J7" s="56">
        <v>1</v>
      </c>
      <c r="K7" s="56">
        <v>1</v>
      </c>
      <c r="L7" s="56">
        <v>1</v>
      </c>
      <c r="M7" s="56">
        <v>1</v>
      </c>
      <c r="N7" s="56">
        <v>1</v>
      </c>
      <c r="O7" s="56">
        <v>0</v>
      </c>
      <c r="P7" s="56">
        <v>0</v>
      </c>
      <c r="Q7" s="3">
        <v>29</v>
      </c>
      <c r="R7" s="3">
        <v>28</v>
      </c>
      <c r="S7" s="20">
        <v>20</v>
      </c>
      <c r="T7" s="20">
        <v>12</v>
      </c>
      <c r="U7" s="3">
        <v>113</v>
      </c>
      <c r="V7" s="3">
        <v>14</v>
      </c>
      <c r="W7" s="29">
        <v>42.218499999999999</v>
      </c>
      <c r="X7" s="29">
        <v>35.639600000000002</v>
      </c>
      <c r="Y7" s="29">
        <v>19.651199999999999</v>
      </c>
      <c r="Z7" s="3">
        <v>1.2629999999999999</v>
      </c>
      <c r="AA7" s="44">
        <f t="shared" si="0"/>
        <v>1263</v>
      </c>
      <c r="AB7" s="3">
        <v>8.1</v>
      </c>
      <c r="AC7" s="3">
        <v>114</v>
      </c>
      <c r="AD7" s="3">
        <v>120</v>
      </c>
      <c r="AE7" s="5">
        <f>AC7*AD7/405</f>
        <v>33.777777777777779</v>
      </c>
      <c r="AF7" s="39">
        <v>0.5</v>
      </c>
      <c r="AG7" s="39">
        <v>35.880000000000003</v>
      </c>
      <c r="AH7" s="39">
        <v>17.481000000000002</v>
      </c>
      <c r="AI7" s="51">
        <v>0.48699999999999999</v>
      </c>
      <c r="AJ7" s="53">
        <v>44.7</v>
      </c>
    </row>
    <row r="8" spans="1:39" x14ac:dyDescent="0.3">
      <c r="A8" s="19" t="s">
        <v>74</v>
      </c>
      <c r="B8" s="27"/>
      <c r="C8" s="59"/>
      <c r="D8" s="56">
        <v>1</v>
      </c>
      <c r="E8" s="67">
        <v>73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1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39"/>
      <c r="R8" s="39"/>
      <c r="S8" s="20"/>
      <c r="T8" s="20"/>
      <c r="U8" s="21">
        <v>121.5</v>
      </c>
      <c r="V8" s="21">
        <v>31</v>
      </c>
      <c r="W8" s="22">
        <v>47.554400000000001</v>
      </c>
      <c r="X8" s="22">
        <v>37.652999999999999</v>
      </c>
      <c r="Y8" s="22">
        <v>21.682300000000001</v>
      </c>
      <c r="Z8" s="21">
        <v>1.593</v>
      </c>
      <c r="AA8" s="44">
        <f t="shared" si="0"/>
        <v>1593</v>
      </c>
      <c r="AB8" s="30"/>
      <c r="AC8" s="30"/>
      <c r="AD8" s="30"/>
      <c r="AE8" s="5"/>
      <c r="AF8" s="39"/>
      <c r="AG8" s="39">
        <v>31.47</v>
      </c>
      <c r="AH8" s="39">
        <v>21.128</v>
      </c>
      <c r="AI8" s="51">
        <v>0.67100000000000004</v>
      </c>
      <c r="AJ8" s="53">
        <v>43.2</v>
      </c>
    </row>
    <row r="9" spans="1:39" x14ac:dyDescent="0.3">
      <c r="A9" s="19" t="s">
        <v>36</v>
      </c>
      <c r="B9" s="27" t="str">
        <f t="shared" ref="B9:B19" si="1">IF(C9&gt;5,"ruim","bom")</f>
        <v>ruim</v>
      </c>
      <c r="C9" s="59">
        <v>7</v>
      </c>
      <c r="D9" s="27">
        <v>0</v>
      </c>
      <c r="E9" s="67">
        <v>79</v>
      </c>
      <c r="F9" s="27">
        <v>0</v>
      </c>
      <c r="G9" s="27">
        <v>1</v>
      </c>
      <c r="H9" s="27">
        <v>0</v>
      </c>
      <c r="I9" s="27">
        <v>0</v>
      </c>
      <c r="J9" s="27">
        <v>1</v>
      </c>
      <c r="K9" s="27">
        <v>1</v>
      </c>
      <c r="L9" s="27">
        <v>1</v>
      </c>
      <c r="M9" s="27">
        <v>0</v>
      </c>
      <c r="N9" s="27">
        <v>1</v>
      </c>
      <c r="O9" s="27">
        <v>1</v>
      </c>
      <c r="P9" s="27">
        <v>0</v>
      </c>
      <c r="Q9" s="3">
        <v>25</v>
      </c>
      <c r="R9" s="3">
        <v>47</v>
      </c>
      <c r="S9" s="20">
        <v>4</v>
      </c>
      <c r="T9" s="20">
        <v>4</v>
      </c>
      <c r="U9" s="3">
        <v>105.3</v>
      </c>
      <c r="V9" s="3">
        <v>16</v>
      </c>
      <c r="W9" s="29">
        <v>37.811999999999998</v>
      </c>
      <c r="X9" s="29">
        <v>33.138500000000001</v>
      </c>
      <c r="Y9" s="3">
        <v>16.9786</v>
      </c>
      <c r="Z9" s="3">
        <v>0.92600000000000005</v>
      </c>
      <c r="AA9" s="44">
        <f t="shared" si="0"/>
        <v>926</v>
      </c>
      <c r="AB9" s="3">
        <v>5.4</v>
      </c>
      <c r="AC9" s="3">
        <v>98</v>
      </c>
      <c r="AD9" s="3">
        <v>20.8</v>
      </c>
      <c r="AE9" s="5">
        <f>AC9*AD9/405</f>
        <v>5.0330864197530865</v>
      </c>
      <c r="AF9" s="39">
        <v>-4.7</v>
      </c>
      <c r="AG9" s="39">
        <v>31.8</v>
      </c>
      <c r="AH9" s="39">
        <v>15.433999999999999</v>
      </c>
      <c r="AI9" s="51">
        <v>0.48499999999999999</v>
      </c>
      <c r="AJ9" s="53">
        <v>45.6</v>
      </c>
      <c r="AK9" s="63">
        <v>282.25</v>
      </c>
      <c r="AL9" s="63">
        <v>52.47</v>
      </c>
      <c r="AM9" s="63">
        <v>450.5</v>
      </c>
    </row>
    <row r="10" spans="1:39" x14ac:dyDescent="0.3">
      <c r="A10" s="19" t="s">
        <v>37</v>
      </c>
      <c r="B10" s="56" t="str">
        <f t="shared" si="1"/>
        <v>bom</v>
      </c>
      <c r="C10" s="59">
        <v>2</v>
      </c>
      <c r="D10" s="27">
        <v>0</v>
      </c>
      <c r="E10" s="66">
        <v>82</v>
      </c>
      <c r="F10" s="56">
        <v>0</v>
      </c>
      <c r="G10" s="56">
        <v>1</v>
      </c>
      <c r="H10" s="56">
        <v>1</v>
      </c>
      <c r="I10" s="56">
        <v>0</v>
      </c>
      <c r="J10" s="56">
        <v>0</v>
      </c>
      <c r="K10" s="56">
        <v>1</v>
      </c>
      <c r="L10" s="56">
        <v>1</v>
      </c>
      <c r="M10" s="56">
        <v>0</v>
      </c>
      <c r="N10" s="56">
        <v>0</v>
      </c>
      <c r="O10" s="56">
        <v>0</v>
      </c>
      <c r="P10" s="56">
        <v>1</v>
      </c>
      <c r="Q10" s="3">
        <v>77</v>
      </c>
      <c r="R10" s="3">
        <v>91</v>
      </c>
      <c r="S10" s="20">
        <v>0</v>
      </c>
      <c r="T10" s="20">
        <v>0</v>
      </c>
      <c r="U10" s="24">
        <v>116.5</v>
      </c>
      <c r="V10" s="24">
        <v>15</v>
      </c>
      <c r="W10" s="25">
        <v>43.57</v>
      </c>
      <c r="X10" s="25">
        <v>41.125799999999998</v>
      </c>
      <c r="Y10" s="25">
        <v>19.7</v>
      </c>
      <c r="Z10" s="24">
        <v>0.9</v>
      </c>
      <c r="AA10" s="44">
        <f t="shared" si="0"/>
        <v>900</v>
      </c>
      <c r="AB10" s="26">
        <v>5.3</v>
      </c>
      <c r="AC10" s="26">
        <v>89</v>
      </c>
      <c r="AD10" s="26">
        <v>8.5</v>
      </c>
      <c r="AE10" s="5">
        <f>AC10*AD10/405</f>
        <v>1.8679012345679011</v>
      </c>
      <c r="AF10" s="39">
        <v>0</v>
      </c>
      <c r="AG10" s="39">
        <v>36.700000000000003</v>
      </c>
      <c r="AH10" s="39">
        <v>19.228000000000002</v>
      </c>
      <c r="AI10" s="51">
        <v>0.50700000000000001</v>
      </c>
      <c r="AJ10" s="53">
        <v>46.4</v>
      </c>
      <c r="AK10" s="63">
        <v>305.5</v>
      </c>
      <c r="AL10" s="63">
        <v>21.306155213892861</v>
      </c>
      <c r="AM10" s="63">
        <v>533</v>
      </c>
    </row>
    <row r="11" spans="1:39" x14ac:dyDescent="0.3">
      <c r="A11" s="19" t="s">
        <v>38</v>
      </c>
      <c r="B11" s="27" t="str">
        <f t="shared" si="1"/>
        <v>bom</v>
      </c>
      <c r="C11" s="59">
        <v>3</v>
      </c>
      <c r="D11" s="56">
        <v>0</v>
      </c>
      <c r="E11" s="67">
        <v>72</v>
      </c>
      <c r="F11" s="27">
        <v>0</v>
      </c>
      <c r="G11" s="27">
        <v>1</v>
      </c>
      <c r="H11" s="27">
        <v>0</v>
      </c>
      <c r="I11" s="27">
        <v>0</v>
      </c>
      <c r="J11" s="27">
        <v>0</v>
      </c>
      <c r="K11" s="27">
        <v>0</v>
      </c>
      <c r="L11" s="27">
        <v>1</v>
      </c>
      <c r="M11" s="27">
        <v>0</v>
      </c>
      <c r="N11" s="27">
        <v>0</v>
      </c>
      <c r="O11" s="27">
        <v>0</v>
      </c>
      <c r="P11" s="27">
        <v>0</v>
      </c>
      <c r="Q11" s="3">
        <v>80</v>
      </c>
      <c r="R11" s="3">
        <v>85</v>
      </c>
      <c r="S11" s="20">
        <v>7</v>
      </c>
      <c r="T11" s="20">
        <v>1</v>
      </c>
      <c r="U11" s="3">
        <v>105</v>
      </c>
      <c r="V11" s="33">
        <v>12</v>
      </c>
      <c r="W11" s="29">
        <v>41.44</v>
      </c>
      <c r="X11" s="29">
        <v>38.31</v>
      </c>
      <c r="Y11" s="29">
        <v>19.934999999999999</v>
      </c>
      <c r="Z11" s="3">
        <v>1.149</v>
      </c>
      <c r="AA11" s="44">
        <f t="shared" si="0"/>
        <v>1149</v>
      </c>
      <c r="AB11" s="3">
        <v>5.5</v>
      </c>
      <c r="AC11" s="3">
        <v>95</v>
      </c>
      <c r="AD11" s="3">
        <v>37.5</v>
      </c>
      <c r="AE11" s="5">
        <f>AC11*AD11/405</f>
        <v>8.7962962962962958</v>
      </c>
      <c r="AF11" s="39">
        <v>-6.6</v>
      </c>
      <c r="AG11" s="39">
        <v>34.1</v>
      </c>
      <c r="AH11" s="39">
        <v>17.297000000000001</v>
      </c>
      <c r="AI11" s="51">
        <v>0.50700000000000001</v>
      </c>
      <c r="AJ11" s="53">
        <v>46.8</v>
      </c>
      <c r="AK11" s="63">
        <v>1488.9</v>
      </c>
      <c r="AL11" s="63">
        <v>77.660000000000011</v>
      </c>
      <c r="AM11" s="63">
        <v>568.5</v>
      </c>
    </row>
    <row r="12" spans="1:39" x14ac:dyDescent="0.3">
      <c r="A12" s="19" t="s">
        <v>75</v>
      </c>
      <c r="B12" s="27" t="str">
        <f t="shared" si="1"/>
        <v>ruim</v>
      </c>
      <c r="C12" s="59">
        <v>13</v>
      </c>
      <c r="D12" s="27">
        <v>0</v>
      </c>
      <c r="E12" s="67">
        <v>69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1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3">
        <v>32</v>
      </c>
      <c r="R12" s="3">
        <v>54</v>
      </c>
      <c r="S12" s="20">
        <v>9</v>
      </c>
      <c r="T12" s="20">
        <v>3</v>
      </c>
      <c r="U12" s="3">
        <v>108.2</v>
      </c>
      <c r="V12" s="3">
        <v>13</v>
      </c>
      <c r="W12" s="29">
        <v>37.101999999999997</v>
      </c>
      <c r="X12" s="29">
        <v>39.602200000000003</v>
      </c>
      <c r="Y12" s="29">
        <v>18.5947</v>
      </c>
      <c r="Z12" s="3">
        <v>1.1739999999999999</v>
      </c>
      <c r="AA12" s="44">
        <f t="shared" si="0"/>
        <v>1174</v>
      </c>
      <c r="AB12" s="3">
        <v>5.5</v>
      </c>
      <c r="AC12" s="3">
        <v>88</v>
      </c>
      <c r="AD12" s="3">
        <v>9</v>
      </c>
      <c r="AE12" s="5">
        <f>AC12*AD12/405</f>
        <v>1.9555555555555555</v>
      </c>
      <c r="AF12" s="39">
        <v>-6.4</v>
      </c>
      <c r="AG12" s="39">
        <v>31.48</v>
      </c>
      <c r="AH12" s="39">
        <v>15.39</v>
      </c>
      <c r="AI12" s="51">
        <v>0.48899999999999999</v>
      </c>
      <c r="AJ12" s="53">
        <v>50.5</v>
      </c>
      <c r="AK12" s="63">
        <v>530.5</v>
      </c>
      <c r="AL12" s="63">
        <v>53.3</v>
      </c>
      <c r="AM12" s="63">
        <v>447.5</v>
      </c>
    </row>
    <row r="13" spans="1:39" x14ac:dyDescent="0.3">
      <c r="A13" s="19" t="s">
        <v>76</v>
      </c>
      <c r="B13" s="56" t="str">
        <f t="shared" si="1"/>
        <v>bom</v>
      </c>
      <c r="C13" s="59">
        <v>2</v>
      </c>
      <c r="D13" s="27">
        <v>1</v>
      </c>
      <c r="E13" s="66">
        <v>70</v>
      </c>
      <c r="F13" s="56">
        <v>0</v>
      </c>
      <c r="G13" s="56">
        <v>1</v>
      </c>
      <c r="H13" s="56">
        <v>0</v>
      </c>
      <c r="I13" s="56">
        <v>0</v>
      </c>
      <c r="J13" s="56">
        <v>0</v>
      </c>
      <c r="K13" s="56">
        <v>1</v>
      </c>
      <c r="L13" s="56">
        <v>1</v>
      </c>
      <c r="M13" s="56">
        <v>0</v>
      </c>
      <c r="N13" s="56">
        <v>0</v>
      </c>
      <c r="O13" s="56">
        <v>0</v>
      </c>
      <c r="P13" s="56">
        <v>0</v>
      </c>
      <c r="Q13" s="3">
        <v>83</v>
      </c>
      <c r="R13" s="3">
        <v>77</v>
      </c>
      <c r="S13" s="20">
        <v>1</v>
      </c>
      <c r="T13" s="20">
        <v>3</v>
      </c>
      <c r="U13" s="27">
        <v>110</v>
      </c>
      <c r="V13" s="24">
        <v>31</v>
      </c>
      <c r="W13" s="28">
        <v>54.116</v>
      </c>
      <c r="X13" s="28">
        <v>34.912999999999997</v>
      </c>
      <c r="Y13" s="28">
        <v>18.015999999999998</v>
      </c>
      <c r="Z13" s="27">
        <v>1.127</v>
      </c>
      <c r="AA13" s="44">
        <f t="shared" si="0"/>
        <v>1127</v>
      </c>
      <c r="AB13" s="3">
        <v>5.8</v>
      </c>
      <c r="AC13" s="3">
        <v>94</v>
      </c>
      <c r="AE13" s="5"/>
      <c r="AF13" s="39">
        <v>-4.3</v>
      </c>
      <c r="AG13" s="39">
        <v>31.1</v>
      </c>
      <c r="AH13" s="39">
        <v>23.347000000000001</v>
      </c>
      <c r="AI13" s="51">
        <v>0.751</v>
      </c>
      <c r="AJ13" s="53">
        <v>38</v>
      </c>
      <c r="AK13" s="63">
        <v>283.32806054589611</v>
      </c>
      <c r="AL13" s="63">
        <v>38.044087357675657</v>
      </c>
      <c r="AM13" s="63">
        <v>556</v>
      </c>
    </row>
    <row r="14" spans="1:39" ht="28.8" x14ac:dyDescent="0.3">
      <c r="A14" s="38" t="s">
        <v>1</v>
      </c>
      <c r="B14" s="27" t="str">
        <f t="shared" si="1"/>
        <v>ruim</v>
      </c>
      <c r="C14" s="59">
        <v>11</v>
      </c>
      <c r="D14" s="56">
        <v>0</v>
      </c>
      <c r="E14" s="67">
        <v>74</v>
      </c>
      <c r="F14" s="27">
        <v>1</v>
      </c>
      <c r="G14" s="27">
        <v>1</v>
      </c>
      <c r="H14" s="27">
        <v>0</v>
      </c>
      <c r="I14" s="27">
        <v>0</v>
      </c>
      <c r="J14" s="27">
        <v>0</v>
      </c>
      <c r="K14" s="27">
        <v>0</v>
      </c>
      <c r="L14" s="27">
        <v>1</v>
      </c>
      <c r="M14" s="27">
        <v>1</v>
      </c>
      <c r="N14" s="27">
        <v>0</v>
      </c>
      <c r="O14" s="27">
        <v>1</v>
      </c>
      <c r="P14" s="27">
        <v>0</v>
      </c>
      <c r="Q14" s="3">
        <v>8</v>
      </c>
      <c r="R14" s="3">
        <v>45</v>
      </c>
      <c r="S14" s="40">
        <v>7</v>
      </c>
      <c r="T14" s="40">
        <v>6</v>
      </c>
      <c r="U14" s="41">
        <v>114</v>
      </c>
      <c r="V14" s="41">
        <v>20</v>
      </c>
      <c r="W14" s="43">
        <v>41.247599999999998</v>
      </c>
      <c r="X14" s="43">
        <v>46.8459</v>
      </c>
      <c r="Y14" s="43">
        <v>23.310700000000001</v>
      </c>
      <c r="Z14" s="41">
        <v>1.41</v>
      </c>
      <c r="AA14" s="44">
        <f t="shared" si="0"/>
        <v>1410</v>
      </c>
      <c r="AB14" s="41">
        <v>6.6</v>
      </c>
      <c r="AC14" s="41">
        <v>104</v>
      </c>
      <c r="AD14" s="41" t="s">
        <v>105</v>
      </c>
      <c r="AF14" s="39">
        <v>-1.5</v>
      </c>
      <c r="AG14" s="39">
        <v>39.6</v>
      </c>
      <c r="AH14" s="39">
        <v>17.466999999999999</v>
      </c>
      <c r="AI14" s="51">
        <v>0.442</v>
      </c>
      <c r="AJ14" s="53">
        <v>51.9</v>
      </c>
      <c r="AK14" s="63">
        <v>561.12449824286784</v>
      </c>
      <c r="AL14" s="63">
        <v>63.480000000000018</v>
      </c>
      <c r="AM14" s="63">
        <v>762.5</v>
      </c>
    </row>
    <row r="15" spans="1:39" x14ac:dyDescent="0.3">
      <c r="A15" s="19" t="s">
        <v>39</v>
      </c>
      <c r="B15" s="27" t="str">
        <f t="shared" si="1"/>
        <v>bom</v>
      </c>
      <c r="C15" s="59">
        <v>2</v>
      </c>
      <c r="D15" s="56">
        <v>0</v>
      </c>
      <c r="E15" s="67">
        <v>75</v>
      </c>
      <c r="F15" s="27">
        <v>1</v>
      </c>
      <c r="G15" s="27">
        <v>1</v>
      </c>
      <c r="H15" s="27">
        <v>0</v>
      </c>
      <c r="I15" s="27">
        <v>0</v>
      </c>
      <c r="J15" s="27">
        <v>0</v>
      </c>
      <c r="K15" s="27">
        <v>1</v>
      </c>
      <c r="L15" s="27">
        <v>1</v>
      </c>
      <c r="M15" s="27">
        <v>1</v>
      </c>
      <c r="N15" s="27">
        <v>0</v>
      </c>
      <c r="O15" s="27">
        <v>0</v>
      </c>
      <c r="P15" s="27">
        <v>0</v>
      </c>
      <c r="Q15" s="3">
        <v>60</v>
      </c>
      <c r="R15" s="3">
        <v>98</v>
      </c>
      <c r="S15" s="20">
        <v>0</v>
      </c>
      <c r="T15" s="20">
        <v>0</v>
      </c>
      <c r="U15" s="3">
        <v>143.5</v>
      </c>
      <c r="V15" s="3">
        <v>21</v>
      </c>
      <c r="W15" s="29">
        <v>42.93</v>
      </c>
      <c r="X15" s="29">
        <v>53.0334</v>
      </c>
      <c r="Y15" s="29">
        <v>33.415700000000001</v>
      </c>
      <c r="Z15" s="3">
        <v>2.335</v>
      </c>
      <c r="AA15" s="44">
        <f t="shared" si="0"/>
        <v>2335</v>
      </c>
      <c r="AB15" s="3">
        <v>6.5</v>
      </c>
      <c r="AC15" s="3">
        <v>128</v>
      </c>
      <c r="AD15" s="26">
        <v>36.4</v>
      </c>
      <c r="AE15" s="5">
        <f>AC15*AD15/405</f>
        <v>11.504197530864197</v>
      </c>
      <c r="AF15" s="39">
        <v>-0.9</v>
      </c>
      <c r="AG15" s="39">
        <v>46.6</v>
      </c>
      <c r="AH15" s="39">
        <v>17.86</v>
      </c>
      <c r="AI15" s="51">
        <v>0.38300000000000001</v>
      </c>
      <c r="AJ15" s="53">
        <v>54.4</v>
      </c>
      <c r="AK15" s="63">
        <v>512.45000000000016</v>
      </c>
      <c r="AL15" s="63">
        <v>47.84</v>
      </c>
      <c r="AM15" s="63">
        <v>1011</v>
      </c>
    </row>
    <row r="16" spans="1:39" x14ac:dyDescent="0.3">
      <c r="A16" s="19" t="s">
        <v>77</v>
      </c>
      <c r="B16" s="56" t="str">
        <f t="shared" si="1"/>
        <v>bom</v>
      </c>
      <c r="C16" s="59">
        <v>4</v>
      </c>
      <c r="D16" s="27">
        <v>0</v>
      </c>
      <c r="E16" s="67">
        <v>65</v>
      </c>
      <c r="F16" s="56">
        <v>0</v>
      </c>
      <c r="G16" s="56">
        <v>0</v>
      </c>
      <c r="H16" s="56">
        <v>1</v>
      </c>
      <c r="I16" s="56">
        <v>0</v>
      </c>
      <c r="J16" s="56">
        <v>1</v>
      </c>
      <c r="K16" s="56">
        <v>1</v>
      </c>
      <c r="L16" s="56">
        <v>0</v>
      </c>
      <c r="M16" s="56">
        <v>0</v>
      </c>
      <c r="N16" s="56">
        <v>1</v>
      </c>
      <c r="O16" s="56">
        <v>1</v>
      </c>
      <c r="P16" s="56">
        <v>1</v>
      </c>
      <c r="Q16" s="3">
        <v>55</v>
      </c>
      <c r="R16" s="3">
        <v>71</v>
      </c>
      <c r="S16" s="20">
        <v>2</v>
      </c>
      <c r="T16" s="20">
        <v>3</v>
      </c>
      <c r="U16" s="3">
        <v>109.4</v>
      </c>
      <c r="V16" s="3">
        <v>16</v>
      </c>
      <c r="W16" s="29">
        <v>37.217799999999997</v>
      </c>
      <c r="X16" s="29">
        <v>41.137599999999999</v>
      </c>
      <c r="Y16" s="29">
        <v>21.97</v>
      </c>
      <c r="Z16" s="3">
        <v>1.4139999999999999</v>
      </c>
      <c r="AA16" s="44">
        <f t="shared" si="0"/>
        <v>1414</v>
      </c>
      <c r="AB16" s="3">
        <v>5.6</v>
      </c>
      <c r="AC16" s="3">
        <v>85</v>
      </c>
      <c r="AD16" s="3">
        <v>12.3</v>
      </c>
      <c r="AE16" s="5">
        <f>AC16*AD16/405</f>
        <v>2.5814814814814815</v>
      </c>
      <c r="AF16" s="39">
        <v>-4.5</v>
      </c>
      <c r="AG16" s="39">
        <v>31.6</v>
      </c>
      <c r="AH16" s="39">
        <v>15.712</v>
      </c>
      <c r="AI16" s="51">
        <v>0.497</v>
      </c>
      <c r="AJ16" s="53">
        <v>51.3</v>
      </c>
      <c r="AK16" s="63">
        <v>281.50358630948142</v>
      </c>
      <c r="AL16" s="63">
        <v>35.655000000000001</v>
      </c>
      <c r="AM16" s="63">
        <v>525</v>
      </c>
    </row>
    <row r="17" spans="1:39" x14ac:dyDescent="0.3">
      <c r="A17" s="38" t="s">
        <v>2</v>
      </c>
      <c r="B17" s="27" t="str">
        <f t="shared" si="1"/>
        <v>ruim</v>
      </c>
      <c r="C17" s="59">
        <v>6</v>
      </c>
      <c r="D17" s="27">
        <v>1</v>
      </c>
      <c r="E17" s="67">
        <v>69</v>
      </c>
      <c r="F17" s="27">
        <v>1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1</v>
      </c>
      <c r="N17" s="27">
        <v>0</v>
      </c>
      <c r="O17" s="27">
        <v>0</v>
      </c>
      <c r="P17" s="27">
        <v>0</v>
      </c>
      <c r="Q17" s="3">
        <v>81</v>
      </c>
      <c r="R17" s="3">
        <v>90</v>
      </c>
      <c r="S17" s="40">
        <v>4</v>
      </c>
      <c r="T17" s="40">
        <v>0</v>
      </c>
      <c r="U17" s="45">
        <v>116</v>
      </c>
      <c r="V17" s="45">
        <v>26</v>
      </c>
      <c r="W17" s="46">
        <v>63.07</v>
      </c>
      <c r="X17" s="46">
        <v>44.924999999999997</v>
      </c>
      <c r="Y17" s="46">
        <v>25.442</v>
      </c>
      <c r="Z17" s="45">
        <v>1.298</v>
      </c>
      <c r="AA17" s="44">
        <f t="shared" si="0"/>
        <v>1298</v>
      </c>
      <c r="AB17" s="45">
        <v>8</v>
      </c>
      <c r="AC17" s="45">
        <v>187</v>
      </c>
      <c r="AD17" s="45">
        <v>25.8</v>
      </c>
      <c r="AE17" s="5">
        <f>AC17*AD17/405</f>
        <v>11.912592592592594</v>
      </c>
      <c r="AF17" s="39"/>
      <c r="AG17" s="39">
        <v>36.479999999999997</v>
      </c>
      <c r="AH17" s="39">
        <v>28.4</v>
      </c>
      <c r="AI17" s="51">
        <v>0.77900000000000003</v>
      </c>
      <c r="AJ17" s="53">
        <v>40.5</v>
      </c>
    </row>
    <row r="18" spans="1:39" x14ac:dyDescent="0.3">
      <c r="A18" s="38" t="s">
        <v>3</v>
      </c>
      <c r="B18" s="27" t="str">
        <f t="shared" si="1"/>
        <v>ruim</v>
      </c>
      <c r="C18" s="59">
        <v>6</v>
      </c>
      <c r="D18" s="56">
        <v>1</v>
      </c>
      <c r="E18" s="67">
        <v>74</v>
      </c>
      <c r="F18" s="27">
        <v>1</v>
      </c>
      <c r="G18" s="27">
        <v>1</v>
      </c>
      <c r="H18" s="27">
        <v>0</v>
      </c>
      <c r="I18" s="27">
        <v>1</v>
      </c>
      <c r="J18" s="27">
        <v>1</v>
      </c>
      <c r="K18" s="27">
        <v>0</v>
      </c>
      <c r="L18" s="27">
        <v>1</v>
      </c>
      <c r="M18" s="27">
        <v>1</v>
      </c>
      <c r="N18" s="27">
        <v>1</v>
      </c>
      <c r="O18" s="27">
        <v>0</v>
      </c>
      <c r="P18" s="27">
        <v>0</v>
      </c>
      <c r="Q18" s="3">
        <v>47</v>
      </c>
      <c r="R18" s="3">
        <v>84</v>
      </c>
      <c r="S18" s="40"/>
      <c r="T18" s="40">
        <v>6</v>
      </c>
      <c r="U18" s="41">
        <v>102.8</v>
      </c>
      <c r="V18" s="41">
        <v>26</v>
      </c>
      <c r="W18" s="41">
        <v>41.831000000000003</v>
      </c>
      <c r="X18" s="41">
        <v>25.466999999999999</v>
      </c>
      <c r="Y18" s="43">
        <v>13.695</v>
      </c>
      <c r="Z18" s="41">
        <v>0.89400000000000002</v>
      </c>
      <c r="AA18" s="44">
        <f t="shared" si="0"/>
        <v>894</v>
      </c>
      <c r="AB18" s="41">
        <v>6</v>
      </c>
      <c r="AC18" s="41">
        <v>83</v>
      </c>
      <c r="AD18" s="41">
        <v>13.8</v>
      </c>
      <c r="AE18" s="5">
        <f>AC18*AD18/405</f>
        <v>2.8281481481481485</v>
      </c>
      <c r="AF18" s="39">
        <v>-1.3</v>
      </c>
      <c r="AG18" s="39">
        <v>30.2</v>
      </c>
      <c r="AH18" s="39">
        <v>16.664999999999999</v>
      </c>
      <c r="AI18" s="51">
        <v>0.55200000000000005</v>
      </c>
      <c r="AJ18" s="53">
        <v>36.799999999999997</v>
      </c>
      <c r="AK18" s="63">
        <v>192.45</v>
      </c>
      <c r="AL18" s="63">
        <v>35.225000000000001</v>
      </c>
      <c r="AM18" s="63">
        <v>585.5</v>
      </c>
    </row>
    <row r="19" spans="1:39" x14ac:dyDescent="0.3">
      <c r="A19" s="38" t="s">
        <v>4</v>
      </c>
      <c r="B19" s="56" t="str">
        <f t="shared" si="1"/>
        <v>bom</v>
      </c>
      <c r="C19" s="59">
        <v>3</v>
      </c>
      <c r="D19" s="27">
        <v>0</v>
      </c>
      <c r="E19" s="66">
        <v>78</v>
      </c>
      <c r="F19" s="56">
        <v>1</v>
      </c>
      <c r="G19" s="56">
        <v>1</v>
      </c>
      <c r="H19" s="56">
        <v>1</v>
      </c>
      <c r="I19" s="56">
        <v>0</v>
      </c>
      <c r="J19" s="56">
        <v>1</v>
      </c>
      <c r="K19" s="56">
        <v>1</v>
      </c>
      <c r="L19" s="56">
        <v>1</v>
      </c>
      <c r="M19" s="56">
        <v>1</v>
      </c>
      <c r="N19" s="56">
        <v>1</v>
      </c>
      <c r="O19" s="56">
        <v>0</v>
      </c>
      <c r="P19" s="56">
        <v>1</v>
      </c>
      <c r="Q19" s="3">
        <v>52</v>
      </c>
      <c r="R19" s="3">
        <v>49</v>
      </c>
      <c r="S19" s="40">
        <v>6</v>
      </c>
      <c r="T19" s="40">
        <v>4</v>
      </c>
      <c r="U19" s="47">
        <v>93</v>
      </c>
      <c r="V19" s="47">
        <v>20</v>
      </c>
      <c r="W19" s="48">
        <v>38.189</v>
      </c>
      <c r="X19" s="48">
        <v>29.2837</v>
      </c>
      <c r="Y19" s="48">
        <v>14.987</v>
      </c>
      <c r="Z19" s="47">
        <v>0.91700000000000004</v>
      </c>
      <c r="AA19" s="44">
        <f t="shared" si="0"/>
        <v>917</v>
      </c>
      <c r="AB19" s="49">
        <v>6.8</v>
      </c>
      <c r="AC19" s="49">
        <v>155</v>
      </c>
      <c r="AD19" s="49">
        <v>8</v>
      </c>
      <c r="AE19" s="5">
        <f>AC19*AD19/405</f>
        <v>3.0617283950617282</v>
      </c>
      <c r="AF19" s="39">
        <v>1.1000000000000001</v>
      </c>
      <c r="AG19" s="39">
        <v>29.6</v>
      </c>
      <c r="AH19" s="39">
        <v>16.036000000000001</v>
      </c>
      <c r="AI19" s="51">
        <v>0.54300000000000004</v>
      </c>
      <c r="AJ19" s="53">
        <v>42.2</v>
      </c>
      <c r="AK19" s="63">
        <v>229.56022027432269</v>
      </c>
      <c r="AL19" s="63">
        <v>27.61001919219121</v>
      </c>
      <c r="AM19" s="63">
        <v>1100</v>
      </c>
    </row>
    <row r="20" spans="1:39" x14ac:dyDescent="0.3">
      <c r="A20" s="38" t="s">
        <v>5</v>
      </c>
      <c r="B20" s="27"/>
      <c r="C20" s="59"/>
      <c r="D20" s="27">
        <v>1</v>
      </c>
      <c r="E20" s="67">
        <v>66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1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39"/>
      <c r="R20" s="39"/>
      <c r="S20" s="40"/>
      <c r="T20" s="40"/>
      <c r="U20" s="45">
        <v>107</v>
      </c>
      <c r="V20" s="45">
        <v>31</v>
      </c>
      <c r="W20" s="46">
        <v>42.62</v>
      </c>
      <c r="X20" s="46">
        <v>36.536000000000001</v>
      </c>
      <c r="Y20" s="46">
        <v>22.24</v>
      </c>
      <c r="Z20" s="45">
        <v>1.605</v>
      </c>
      <c r="AA20" s="44">
        <f t="shared" si="0"/>
        <v>1605</v>
      </c>
      <c r="AB20" s="45"/>
      <c r="AC20" s="45"/>
      <c r="AD20" s="45"/>
      <c r="AE20" s="5"/>
      <c r="AF20" s="39"/>
      <c r="AG20" s="39">
        <v>31.33</v>
      </c>
      <c r="AH20" s="39">
        <v>19.600000000000001</v>
      </c>
      <c r="AI20" s="51">
        <v>0.626</v>
      </c>
      <c r="AJ20" s="53">
        <v>46.2</v>
      </c>
    </row>
    <row r="21" spans="1:39" x14ac:dyDescent="0.3">
      <c r="A21" s="19" t="s">
        <v>78</v>
      </c>
      <c r="B21" s="27"/>
      <c r="C21" s="59"/>
      <c r="D21" s="56">
        <v>1</v>
      </c>
      <c r="E21" s="67">
        <v>70</v>
      </c>
      <c r="F21" s="27">
        <v>0</v>
      </c>
      <c r="G21" s="27">
        <v>1</v>
      </c>
      <c r="H21" s="27">
        <v>0</v>
      </c>
      <c r="I21" s="27">
        <v>0</v>
      </c>
      <c r="J21" s="27">
        <v>1</v>
      </c>
      <c r="K21" s="27">
        <v>1</v>
      </c>
      <c r="L21" s="27">
        <v>1</v>
      </c>
      <c r="M21" s="27">
        <v>0</v>
      </c>
      <c r="N21" s="27">
        <v>1</v>
      </c>
      <c r="O21" s="27">
        <v>0</v>
      </c>
      <c r="P21" s="27">
        <v>0</v>
      </c>
      <c r="Q21" s="39"/>
      <c r="R21" s="39"/>
      <c r="S21" s="20"/>
      <c r="T21" s="20"/>
      <c r="U21" s="21">
        <v>116</v>
      </c>
      <c r="V21" s="21">
        <v>20</v>
      </c>
      <c r="W21" s="22">
        <v>50.292000000000002</v>
      </c>
      <c r="X21" s="22">
        <v>37.927</v>
      </c>
      <c r="Y21" s="22">
        <v>20.369</v>
      </c>
      <c r="Z21" s="21">
        <v>1.573</v>
      </c>
      <c r="AA21" s="44">
        <f t="shared" si="0"/>
        <v>1573</v>
      </c>
      <c r="AB21" s="30"/>
      <c r="AC21" s="30"/>
      <c r="AD21" s="30"/>
      <c r="AE21" s="5"/>
      <c r="AF21" s="39"/>
      <c r="AG21" s="39">
        <v>33.700000000000003</v>
      </c>
      <c r="AH21" s="39">
        <v>22.725999999999999</v>
      </c>
      <c r="AI21" s="51">
        <v>0.67400000000000004</v>
      </c>
      <c r="AJ21" s="53">
        <v>41.9</v>
      </c>
    </row>
    <row r="22" spans="1:39" x14ac:dyDescent="0.3">
      <c r="A22" s="19" t="s">
        <v>40</v>
      </c>
      <c r="B22" s="56" t="str">
        <f t="shared" ref="B22:B27" si="2">IF(C22&gt;5,"ruim","bom")</f>
        <v>bom</v>
      </c>
      <c r="C22" s="59">
        <v>4</v>
      </c>
      <c r="D22" s="56">
        <v>1</v>
      </c>
      <c r="E22" s="67">
        <v>78</v>
      </c>
      <c r="F22" s="56">
        <v>1</v>
      </c>
      <c r="G22" s="56">
        <v>1</v>
      </c>
      <c r="H22" s="56">
        <v>0</v>
      </c>
      <c r="I22" s="56">
        <v>0</v>
      </c>
      <c r="J22" s="56">
        <v>1</v>
      </c>
      <c r="K22" s="56">
        <v>1</v>
      </c>
      <c r="L22" s="56">
        <v>1</v>
      </c>
      <c r="M22" s="56">
        <v>1</v>
      </c>
      <c r="N22" s="56">
        <v>1</v>
      </c>
      <c r="O22" s="56">
        <v>0</v>
      </c>
      <c r="P22" s="56">
        <v>0</v>
      </c>
      <c r="Q22" s="3">
        <v>86</v>
      </c>
      <c r="R22" s="3">
        <v>76</v>
      </c>
      <c r="S22" s="20">
        <v>7</v>
      </c>
      <c r="T22" s="20">
        <v>5</v>
      </c>
      <c r="U22" s="3">
        <v>112.8</v>
      </c>
      <c r="V22" s="3">
        <v>30</v>
      </c>
      <c r="W22" s="29">
        <v>39.857999999999997</v>
      </c>
      <c r="X22" s="29">
        <v>40.089199999999998</v>
      </c>
      <c r="Y22" s="29">
        <v>20.530999999999999</v>
      </c>
      <c r="Z22" s="3">
        <v>0.59899999999999998</v>
      </c>
      <c r="AA22" s="44">
        <f t="shared" si="0"/>
        <v>599</v>
      </c>
      <c r="AB22" s="3">
        <v>6.3</v>
      </c>
      <c r="AC22" s="3">
        <v>98</v>
      </c>
      <c r="AD22" s="3">
        <v>22.6</v>
      </c>
      <c r="AE22" s="5">
        <f t="shared" ref="AE22:AE37" si="3">AC22*AD22/405</f>
        <v>5.4686419753086426</v>
      </c>
      <c r="AF22" s="39">
        <v>-6.7</v>
      </c>
      <c r="AG22" s="39">
        <v>36.200000000000003</v>
      </c>
      <c r="AH22" s="39">
        <v>18.199000000000002</v>
      </c>
      <c r="AI22" s="51">
        <v>0.503</v>
      </c>
      <c r="AJ22" s="53">
        <v>49</v>
      </c>
      <c r="AK22" s="63">
        <v>401.03253864590812</v>
      </c>
      <c r="AL22" s="63">
        <v>47.154865190058807</v>
      </c>
      <c r="AM22" s="63">
        <v>717.9188330351767</v>
      </c>
    </row>
    <row r="23" spans="1:39" x14ac:dyDescent="0.3">
      <c r="A23" s="19" t="s">
        <v>41</v>
      </c>
      <c r="B23" s="27" t="str">
        <f t="shared" si="2"/>
        <v>bom</v>
      </c>
      <c r="C23" s="59">
        <v>4</v>
      </c>
      <c r="D23" s="27">
        <v>0</v>
      </c>
      <c r="E23" s="67">
        <v>72</v>
      </c>
      <c r="F23" s="27">
        <v>0</v>
      </c>
      <c r="G23" s="27">
        <v>1</v>
      </c>
      <c r="H23" s="27">
        <v>0</v>
      </c>
      <c r="I23" s="27">
        <v>0</v>
      </c>
      <c r="J23" s="27">
        <v>0</v>
      </c>
      <c r="K23" s="27">
        <v>1</v>
      </c>
      <c r="L23" s="27">
        <v>1</v>
      </c>
      <c r="M23" s="27">
        <v>0</v>
      </c>
      <c r="N23" s="27">
        <v>0</v>
      </c>
      <c r="O23" s="27">
        <v>0</v>
      </c>
      <c r="P23" s="27">
        <v>0</v>
      </c>
      <c r="Q23" s="3">
        <v>81</v>
      </c>
      <c r="R23" s="3">
        <v>92</v>
      </c>
      <c r="S23" s="20">
        <v>4</v>
      </c>
      <c r="T23" s="20">
        <v>2</v>
      </c>
      <c r="U23" s="3">
        <v>90.5</v>
      </c>
      <c r="V23" s="5">
        <v>16</v>
      </c>
      <c r="W23" s="29">
        <v>33.131</v>
      </c>
      <c r="X23" s="29">
        <v>32.454000000000001</v>
      </c>
      <c r="Y23" s="29">
        <v>15.048</v>
      </c>
      <c r="Z23" s="3">
        <v>0.94</v>
      </c>
      <c r="AA23" s="44">
        <f t="shared" si="0"/>
        <v>940</v>
      </c>
      <c r="AB23" s="3">
        <v>5.4</v>
      </c>
      <c r="AC23" s="3">
        <v>102</v>
      </c>
      <c r="AD23" s="3">
        <v>14.4</v>
      </c>
      <c r="AE23" s="5">
        <f t="shared" si="3"/>
        <v>3.6266666666666665</v>
      </c>
      <c r="AF23" s="39">
        <v>-3.7</v>
      </c>
      <c r="AG23" s="39">
        <v>31.1</v>
      </c>
      <c r="AH23" s="39">
        <v>13.34</v>
      </c>
      <c r="AI23" s="51">
        <v>0.42899999999999999</v>
      </c>
      <c r="AJ23" s="53">
        <v>48.2</v>
      </c>
      <c r="AK23" s="63">
        <v>975.65000000000009</v>
      </c>
      <c r="AL23" s="63">
        <v>79.502304184300698</v>
      </c>
      <c r="AM23" s="63">
        <v>594</v>
      </c>
    </row>
    <row r="24" spans="1:39" x14ac:dyDescent="0.3">
      <c r="A24" s="19" t="s">
        <v>79</v>
      </c>
      <c r="B24" s="27" t="str">
        <f t="shared" si="2"/>
        <v>ruim</v>
      </c>
      <c r="C24" s="59">
        <v>9</v>
      </c>
      <c r="D24" s="27">
        <v>0</v>
      </c>
      <c r="E24" s="67">
        <v>73</v>
      </c>
      <c r="F24" s="27">
        <v>1</v>
      </c>
      <c r="G24" s="27">
        <v>1</v>
      </c>
      <c r="H24" s="27">
        <v>0</v>
      </c>
      <c r="I24" s="27">
        <v>0</v>
      </c>
      <c r="J24" s="27">
        <v>1</v>
      </c>
      <c r="K24" s="27">
        <v>0</v>
      </c>
      <c r="L24" s="27">
        <v>1</v>
      </c>
      <c r="M24" s="27">
        <v>1</v>
      </c>
      <c r="N24" s="27">
        <v>1</v>
      </c>
      <c r="O24" s="27">
        <v>1</v>
      </c>
      <c r="P24" s="27">
        <v>0</v>
      </c>
      <c r="Q24" s="3">
        <v>70</v>
      </c>
      <c r="R24" s="3">
        <v>80</v>
      </c>
      <c r="S24" s="20">
        <v>8</v>
      </c>
      <c r="T24" s="20">
        <v>2</v>
      </c>
      <c r="U24" s="3">
        <v>101</v>
      </c>
      <c r="V24" s="5">
        <v>16</v>
      </c>
      <c r="W24" s="29">
        <v>38.691000000000003</v>
      </c>
      <c r="X24" s="29">
        <v>42.365000000000002</v>
      </c>
      <c r="Y24" s="29">
        <v>22.088000000000001</v>
      </c>
      <c r="Z24" s="3">
        <v>1.006</v>
      </c>
      <c r="AA24" s="44">
        <f t="shared" si="0"/>
        <v>1006</v>
      </c>
      <c r="AB24" s="3">
        <v>6.1</v>
      </c>
      <c r="AC24" s="3">
        <v>102</v>
      </c>
      <c r="AD24" s="3">
        <v>28.8</v>
      </c>
      <c r="AE24" s="5">
        <f t="shared" si="3"/>
        <v>7.253333333333333</v>
      </c>
      <c r="AF24" s="39">
        <v>-5.9</v>
      </c>
      <c r="AG24" s="39">
        <v>32.4</v>
      </c>
      <c r="AH24" s="39">
        <v>15.901</v>
      </c>
      <c r="AI24" s="51">
        <v>0.49099999999999999</v>
      </c>
      <c r="AJ24" s="53">
        <v>50.9</v>
      </c>
      <c r="AK24" s="63">
        <v>483.4970372654825</v>
      </c>
      <c r="AL24" s="63">
        <v>50.832539787763523</v>
      </c>
      <c r="AM24" s="63">
        <v>603.80782552835524</v>
      </c>
    </row>
    <row r="25" spans="1:39" x14ac:dyDescent="0.3">
      <c r="A25" s="19" t="s">
        <v>42</v>
      </c>
      <c r="B25" s="56" t="str">
        <f t="shared" si="2"/>
        <v>ruim</v>
      </c>
      <c r="C25" s="59">
        <v>7</v>
      </c>
      <c r="D25" s="56">
        <v>0</v>
      </c>
      <c r="E25" s="66">
        <v>84</v>
      </c>
      <c r="F25" s="56">
        <v>0</v>
      </c>
      <c r="G25" s="56">
        <v>1</v>
      </c>
      <c r="H25" s="56">
        <v>1</v>
      </c>
      <c r="I25" s="56">
        <v>1</v>
      </c>
      <c r="J25" s="56">
        <v>0</v>
      </c>
      <c r="K25" s="56">
        <v>1</v>
      </c>
      <c r="L25" s="56">
        <v>1</v>
      </c>
      <c r="M25" s="56">
        <v>0</v>
      </c>
      <c r="N25" s="56">
        <v>0</v>
      </c>
      <c r="O25" s="56">
        <v>0</v>
      </c>
      <c r="P25" s="56">
        <v>1</v>
      </c>
      <c r="Q25" s="3">
        <v>62</v>
      </c>
      <c r="R25" s="3">
        <v>81</v>
      </c>
      <c r="S25" s="20">
        <v>4</v>
      </c>
      <c r="T25" s="20">
        <v>4</v>
      </c>
      <c r="U25" s="34">
        <v>99.5</v>
      </c>
      <c r="V25" s="34">
        <v>13</v>
      </c>
      <c r="W25" s="22">
        <v>31.1111</v>
      </c>
      <c r="X25" s="35">
        <v>36.329300000000003</v>
      </c>
      <c r="Y25" s="35">
        <v>19.57</v>
      </c>
      <c r="Z25" s="34">
        <v>1.018</v>
      </c>
      <c r="AA25" s="44">
        <f t="shared" si="0"/>
        <v>1018</v>
      </c>
      <c r="AB25" s="21">
        <v>6.6</v>
      </c>
      <c r="AC25" s="21">
        <v>97</v>
      </c>
      <c r="AD25" s="21">
        <v>9.1</v>
      </c>
      <c r="AE25" s="5">
        <f t="shared" si="3"/>
        <v>2.1795061728395062</v>
      </c>
      <c r="AF25" s="39"/>
      <c r="AG25" s="39">
        <v>33.9</v>
      </c>
      <c r="AH25" s="39">
        <v>11.426</v>
      </c>
      <c r="AI25" s="51">
        <v>0.33700000000000002</v>
      </c>
      <c r="AJ25" s="53">
        <v>52.6</v>
      </c>
      <c r="AK25" s="63">
        <v>314.89055366084352</v>
      </c>
      <c r="AL25" s="63">
        <v>37.396269476701427</v>
      </c>
      <c r="AM25" s="63">
        <v>728.5</v>
      </c>
    </row>
    <row r="26" spans="1:39" x14ac:dyDescent="0.3">
      <c r="A26" s="38" t="s">
        <v>6</v>
      </c>
      <c r="B26" s="27" t="str">
        <f t="shared" si="2"/>
        <v>ruim</v>
      </c>
      <c r="C26" s="59">
        <v>9</v>
      </c>
      <c r="D26" s="27">
        <v>0</v>
      </c>
      <c r="E26" s="67">
        <v>77</v>
      </c>
      <c r="F26" s="27">
        <v>0</v>
      </c>
      <c r="G26" s="27">
        <v>0</v>
      </c>
      <c r="H26" s="27">
        <v>0</v>
      </c>
      <c r="I26" s="27">
        <v>1</v>
      </c>
      <c r="J26" s="27">
        <v>0</v>
      </c>
      <c r="K26" s="27">
        <v>1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3">
        <v>77</v>
      </c>
      <c r="R26" s="3">
        <v>79</v>
      </c>
      <c r="S26" s="40">
        <v>8</v>
      </c>
      <c r="T26" s="40">
        <v>2</v>
      </c>
      <c r="U26" s="41">
        <v>103</v>
      </c>
      <c r="V26" s="41">
        <v>18</v>
      </c>
      <c r="W26" s="43">
        <v>35.520000000000003</v>
      </c>
      <c r="X26" s="43">
        <v>35.411499999999997</v>
      </c>
      <c r="Y26" s="43">
        <v>16.742999999999999</v>
      </c>
      <c r="Z26" s="41">
        <v>0.59199999999999997</v>
      </c>
      <c r="AA26" s="44">
        <f t="shared" si="0"/>
        <v>592</v>
      </c>
      <c r="AB26" s="41">
        <v>5.2</v>
      </c>
      <c r="AC26" s="41">
        <v>114</v>
      </c>
      <c r="AD26" s="41">
        <v>5.8</v>
      </c>
      <c r="AE26" s="5">
        <f t="shared" si="3"/>
        <v>1.6325925925925924</v>
      </c>
      <c r="AF26" s="39">
        <v>0.1</v>
      </c>
      <c r="AG26" s="39">
        <v>31.6</v>
      </c>
      <c r="AH26" s="39">
        <v>14.936999999999999</v>
      </c>
      <c r="AI26" s="51">
        <v>0.47299999999999998</v>
      </c>
      <c r="AJ26" s="53">
        <v>48.7</v>
      </c>
      <c r="AK26" s="63">
        <v>341.91428763734012</v>
      </c>
      <c r="AL26" s="63">
        <v>30.476653097595769</v>
      </c>
      <c r="AM26" s="63">
        <v>562.71345985488585</v>
      </c>
    </row>
    <row r="27" spans="1:39" x14ac:dyDescent="0.3">
      <c r="A27" s="19" t="s">
        <v>43</v>
      </c>
      <c r="B27" s="27" t="str">
        <f t="shared" si="2"/>
        <v>ruim</v>
      </c>
      <c r="C27" s="59">
        <v>14</v>
      </c>
      <c r="D27" s="27">
        <v>0</v>
      </c>
      <c r="E27" s="67">
        <v>69</v>
      </c>
      <c r="F27" s="27">
        <v>0</v>
      </c>
      <c r="G27" s="27">
        <v>1</v>
      </c>
      <c r="H27" s="27">
        <v>0</v>
      </c>
      <c r="I27" s="27">
        <v>0</v>
      </c>
      <c r="J27" s="27">
        <v>1</v>
      </c>
      <c r="K27" s="27">
        <v>1</v>
      </c>
      <c r="L27" s="27">
        <v>1</v>
      </c>
      <c r="M27" s="27">
        <v>0</v>
      </c>
      <c r="N27" s="27">
        <v>1</v>
      </c>
      <c r="O27" s="27">
        <v>1</v>
      </c>
      <c r="P27" s="27">
        <v>0</v>
      </c>
      <c r="Q27" s="3">
        <v>45</v>
      </c>
      <c r="R27" s="3">
        <v>52</v>
      </c>
      <c r="S27" s="20">
        <v>1</v>
      </c>
      <c r="T27" s="20">
        <v>2</v>
      </c>
      <c r="U27" s="3">
        <v>96</v>
      </c>
      <c r="V27" s="3">
        <v>17</v>
      </c>
      <c r="W27" s="29">
        <v>39.476999999999997</v>
      </c>
      <c r="X27" s="29">
        <v>39.476700000000001</v>
      </c>
      <c r="Y27" s="29">
        <v>19.504799999999999</v>
      </c>
      <c r="Z27" s="3">
        <v>0.90900000000000003</v>
      </c>
      <c r="AA27" s="44">
        <f t="shared" si="0"/>
        <v>909</v>
      </c>
      <c r="AB27" s="3">
        <v>5.8</v>
      </c>
      <c r="AC27" s="3">
        <v>104</v>
      </c>
      <c r="AD27" s="3">
        <v>12.1</v>
      </c>
      <c r="AE27" s="5">
        <f t="shared" si="3"/>
        <v>3.10716049382716</v>
      </c>
      <c r="AF27" s="39">
        <v>-7</v>
      </c>
      <c r="AG27" s="39">
        <v>30</v>
      </c>
      <c r="AH27" s="39">
        <v>16.72</v>
      </c>
      <c r="AI27" s="51">
        <v>0.55700000000000005</v>
      </c>
      <c r="AJ27" s="53">
        <v>49</v>
      </c>
      <c r="AK27" s="63">
        <v>549.6541782679875</v>
      </c>
      <c r="AL27" s="63">
        <v>67.89500000000001</v>
      </c>
      <c r="AM27" s="63">
        <v>721.5</v>
      </c>
    </row>
    <row r="28" spans="1:39" x14ac:dyDescent="0.3">
      <c r="A28" s="19" t="s">
        <v>7</v>
      </c>
      <c r="B28" s="56"/>
      <c r="C28" s="59"/>
      <c r="D28" s="56">
        <v>1</v>
      </c>
      <c r="E28" s="67">
        <v>70</v>
      </c>
      <c r="F28" s="56">
        <v>0</v>
      </c>
      <c r="G28" s="56">
        <v>0</v>
      </c>
      <c r="H28" s="56">
        <v>0</v>
      </c>
      <c r="I28" s="56">
        <v>0</v>
      </c>
      <c r="J28" s="56">
        <v>0</v>
      </c>
      <c r="K28" s="56">
        <v>1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39"/>
      <c r="R28" s="39"/>
      <c r="S28" s="20"/>
      <c r="T28" s="20"/>
      <c r="U28" s="21">
        <v>130</v>
      </c>
      <c r="V28" s="21">
        <v>22</v>
      </c>
      <c r="W28" s="22">
        <v>46.62</v>
      </c>
      <c r="X28" s="22">
        <v>36.536000000000001</v>
      </c>
      <c r="Y28" s="23"/>
      <c r="Z28" s="21">
        <v>1.605</v>
      </c>
      <c r="AA28" s="44">
        <f t="shared" si="0"/>
        <v>1605</v>
      </c>
      <c r="AB28" s="21">
        <v>5.0999999999999996</v>
      </c>
      <c r="AC28" s="21">
        <v>105</v>
      </c>
      <c r="AD28" s="21">
        <v>21.8</v>
      </c>
      <c r="AE28" s="5">
        <f t="shared" si="3"/>
        <v>5.6518518518518519</v>
      </c>
      <c r="AF28" s="39"/>
      <c r="AG28" s="39">
        <v>32</v>
      </c>
      <c r="AH28" s="39">
        <v>19.611999999999998</v>
      </c>
      <c r="AI28" s="51">
        <v>0.61299999999999999</v>
      </c>
      <c r="AJ28" s="53">
        <v>42.8</v>
      </c>
      <c r="AK28" s="63">
        <v>877.09999999999968</v>
      </c>
      <c r="AL28" s="63">
        <v>63.66</v>
      </c>
      <c r="AM28" s="63">
        <v>594</v>
      </c>
    </row>
    <row r="29" spans="1:39" x14ac:dyDescent="0.3">
      <c r="A29" s="19" t="s">
        <v>44</v>
      </c>
      <c r="B29" s="27"/>
      <c r="C29" s="59"/>
      <c r="D29" s="56">
        <v>0</v>
      </c>
      <c r="E29" s="67">
        <v>66</v>
      </c>
      <c r="F29" s="27">
        <v>0</v>
      </c>
      <c r="G29" s="27">
        <v>1</v>
      </c>
      <c r="H29" s="27">
        <v>0</v>
      </c>
      <c r="I29" s="27">
        <v>0</v>
      </c>
      <c r="J29" s="27">
        <v>0</v>
      </c>
      <c r="K29" s="27">
        <v>1</v>
      </c>
      <c r="L29" s="27">
        <v>1</v>
      </c>
      <c r="M29" s="27">
        <v>0</v>
      </c>
      <c r="N29" s="27">
        <v>0</v>
      </c>
      <c r="O29" s="27">
        <v>1</v>
      </c>
      <c r="P29" s="27">
        <v>0</v>
      </c>
      <c r="Q29" s="3">
        <v>58</v>
      </c>
      <c r="R29" s="3">
        <v>68</v>
      </c>
      <c r="S29" s="20">
        <v>1</v>
      </c>
      <c r="T29" s="20">
        <v>3</v>
      </c>
      <c r="U29" s="21">
        <v>113.5</v>
      </c>
      <c r="V29" s="21">
        <v>14</v>
      </c>
      <c r="W29" s="22">
        <v>33.042000000000002</v>
      </c>
      <c r="X29" s="21">
        <v>43.470300000000002</v>
      </c>
      <c r="Y29" s="22">
        <v>23.879000000000001</v>
      </c>
      <c r="Z29" s="21">
        <v>1.3420000000000001</v>
      </c>
      <c r="AA29" s="44">
        <f t="shared" si="0"/>
        <v>1342</v>
      </c>
      <c r="AB29" s="21">
        <v>5.0999999999999996</v>
      </c>
      <c r="AC29" s="21">
        <v>92</v>
      </c>
      <c r="AD29" s="21">
        <v>26</v>
      </c>
      <c r="AE29" s="5">
        <f t="shared" si="3"/>
        <v>5.9061728395061728</v>
      </c>
      <c r="AF29" s="39"/>
      <c r="AG29" s="39">
        <v>36.5</v>
      </c>
      <c r="AH29" s="39">
        <v>14.516999999999999</v>
      </c>
      <c r="AI29" s="51">
        <v>0.39800000000000002</v>
      </c>
      <c r="AJ29" s="53">
        <v>56.8</v>
      </c>
      <c r="AK29" s="63">
        <v>1321.55</v>
      </c>
      <c r="AL29" s="63">
        <v>76.319999999999993</v>
      </c>
      <c r="AM29" s="63">
        <v>553.5</v>
      </c>
    </row>
    <row r="30" spans="1:39" ht="28.8" x14ac:dyDescent="0.3">
      <c r="A30" s="19" t="s">
        <v>8</v>
      </c>
      <c r="B30" s="27" t="str">
        <f t="shared" ref="B30:B58" si="4">IF(C30&gt;5,"ruim","bom")</f>
        <v>ruim</v>
      </c>
      <c r="C30" s="59">
        <v>10</v>
      </c>
      <c r="D30" s="27">
        <v>0</v>
      </c>
      <c r="E30" s="66">
        <v>82</v>
      </c>
      <c r="F30" s="27">
        <v>0</v>
      </c>
      <c r="G30" s="27">
        <v>1</v>
      </c>
      <c r="H30" s="27">
        <v>0</v>
      </c>
      <c r="I30" s="27">
        <v>0</v>
      </c>
      <c r="J30" s="27">
        <v>1</v>
      </c>
      <c r="K30" s="27">
        <v>1</v>
      </c>
      <c r="L30" s="27">
        <v>1</v>
      </c>
      <c r="M30" s="27">
        <v>0</v>
      </c>
      <c r="N30" s="27">
        <v>1</v>
      </c>
      <c r="O30" s="27">
        <v>1</v>
      </c>
      <c r="P30" s="27">
        <v>0</v>
      </c>
      <c r="Q30" s="3">
        <v>51</v>
      </c>
      <c r="R30" s="3">
        <v>63</v>
      </c>
      <c r="S30" s="20">
        <v>7</v>
      </c>
      <c r="T30" s="20">
        <v>4</v>
      </c>
      <c r="U30" s="24">
        <v>90.4</v>
      </c>
      <c r="V30" s="24">
        <v>17</v>
      </c>
      <c r="W30" s="25">
        <v>32.143999999999998</v>
      </c>
      <c r="X30" s="25">
        <v>28.192</v>
      </c>
      <c r="Y30" s="25">
        <v>13.355</v>
      </c>
      <c r="Z30" s="24">
        <v>0.49299999999999999</v>
      </c>
      <c r="AA30" s="44">
        <f t="shared" si="0"/>
        <v>493</v>
      </c>
      <c r="AB30" s="26">
        <v>5.9</v>
      </c>
      <c r="AC30" s="26">
        <v>92</v>
      </c>
      <c r="AD30" s="26">
        <v>23.8</v>
      </c>
      <c r="AE30" s="5">
        <f t="shared" si="3"/>
        <v>5.4064197530864195</v>
      </c>
      <c r="AF30" s="39">
        <v>1.1000000000000001</v>
      </c>
      <c r="AG30" s="39">
        <v>31.7</v>
      </c>
      <c r="AH30" s="39">
        <v>12.750999999999999</v>
      </c>
      <c r="AI30" s="51">
        <v>0.40200000000000002</v>
      </c>
      <c r="AJ30" s="53">
        <v>45.6</v>
      </c>
      <c r="AK30" s="63">
        <v>779.95842767651243</v>
      </c>
      <c r="AL30" s="63">
        <v>352.06500000000011</v>
      </c>
      <c r="AM30" s="63">
        <v>677</v>
      </c>
    </row>
    <row r="31" spans="1:39" x14ac:dyDescent="0.3">
      <c r="A31" s="19" t="s">
        <v>45</v>
      </c>
      <c r="B31" s="56" t="str">
        <f t="shared" si="4"/>
        <v>bom</v>
      </c>
      <c r="C31" s="59">
        <v>1</v>
      </c>
      <c r="D31" s="27">
        <v>0</v>
      </c>
      <c r="E31" s="67">
        <v>69</v>
      </c>
      <c r="F31" s="56">
        <v>0</v>
      </c>
      <c r="G31" s="56">
        <v>1</v>
      </c>
      <c r="H31" s="56">
        <v>0</v>
      </c>
      <c r="I31" s="56">
        <v>0</v>
      </c>
      <c r="J31" s="56">
        <v>0</v>
      </c>
      <c r="K31" s="56">
        <v>0</v>
      </c>
      <c r="L31" s="56">
        <v>1</v>
      </c>
      <c r="M31" s="56">
        <v>0</v>
      </c>
      <c r="N31" s="56">
        <v>0</v>
      </c>
      <c r="O31" s="56">
        <v>0</v>
      </c>
      <c r="P31" s="56">
        <v>0</v>
      </c>
      <c r="Q31" s="3">
        <v>33</v>
      </c>
      <c r="R31" s="3">
        <v>43</v>
      </c>
      <c r="S31" s="20">
        <v>13</v>
      </c>
      <c r="T31" s="20">
        <v>8</v>
      </c>
      <c r="U31" s="3">
        <v>120</v>
      </c>
      <c r="V31" s="3">
        <v>18</v>
      </c>
      <c r="W31" s="29">
        <v>54.589599999999997</v>
      </c>
      <c r="X31" s="29">
        <v>56.482300000000002</v>
      </c>
      <c r="Y31" s="29">
        <v>21.610299999999999</v>
      </c>
      <c r="Z31" s="3">
        <v>1.0509999999999999</v>
      </c>
      <c r="AA31" s="44">
        <f t="shared" si="0"/>
        <v>1051</v>
      </c>
      <c r="AB31" s="3">
        <v>5.6</v>
      </c>
      <c r="AC31" s="3">
        <v>89</v>
      </c>
      <c r="AD31" s="3">
        <v>11</v>
      </c>
      <c r="AE31" s="5">
        <f t="shared" si="3"/>
        <v>2.4172839506172838</v>
      </c>
      <c r="AF31" s="39">
        <v>-6</v>
      </c>
      <c r="AG31" s="39">
        <v>44.92</v>
      </c>
      <c r="AH31" s="39">
        <v>26.126000000000001</v>
      </c>
      <c r="AI31" s="51">
        <v>0.58199999999999996</v>
      </c>
      <c r="AJ31" s="53">
        <v>49.8</v>
      </c>
      <c r="AK31" s="63">
        <v>221.70618289755151</v>
      </c>
      <c r="AL31" s="63">
        <v>35.400000000000013</v>
      </c>
      <c r="AM31" s="63">
        <v>431.5</v>
      </c>
    </row>
    <row r="32" spans="1:39" x14ac:dyDescent="0.3">
      <c r="A32" s="19" t="s">
        <v>46</v>
      </c>
      <c r="B32" s="27" t="str">
        <f t="shared" si="4"/>
        <v>bom</v>
      </c>
      <c r="C32" s="59">
        <v>1</v>
      </c>
      <c r="D32" s="56">
        <v>0</v>
      </c>
      <c r="E32" s="66">
        <v>75</v>
      </c>
      <c r="F32" s="27">
        <v>1</v>
      </c>
      <c r="G32" s="27">
        <v>1</v>
      </c>
      <c r="H32" s="27">
        <v>0</v>
      </c>
      <c r="I32" s="27">
        <v>0</v>
      </c>
      <c r="J32" s="27">
        <v>1</v>
      </c>
      <c r="K32" s="27">
        <v>1</v>
      </c>
      <c r="L32" s="27">
        <v>1</v>
      </c>
      <c r="M32" s="27">
        <v>1</v>
      </c>
      <c r="N32" s="27">
        <v>1</v>
      </c>
      <c r="O32" s="27">
        <v>0</v>
      </c>
      <c r="P32" s="27">
        <v>0</v>
      </c>
      <c r="Q32" s="3">
        <v>44</v>
      </c>
      <c r="R32" s="3">
        <v>76</v>
      </c>
      <c r="S32" s="20">
        <v>5</v>
      </c>
      <c r="T32" s="20">
        <v>2</v>
      </c>
      <c r="U32" s="27">
        <v>118.5</v>
      </c>
      <c r="V32" s="24">
        <v>19</v>
      </c>
      <c r="W32" s="28">
        <v>36.661999999999999</v>
      </c>
      <c r="X32" s="28">
        <v>42.230600000000003</v>
      </c>
      <c r="Y32" s="28">
        <v>26.627600000000001</v>
      </c>
      <c r="Z32" s="27">
        <v>1.895</v>
      </c>
      <c r="AA32" s="44">
        <f t="shared" si="0"/>
        <v>1895</v>
      </c>
      <c r="AB32" s="3">
        <v>6.5</v>
      </c>
      <c r="AC32" s="3">
        <v>119</v>
      </c>
      <c r="AD32" s="3">
        <v>25.4</v>
      </c>
      <c r="AE32" s="5">
        <f t="shared" si="3"/>
        <v>7.4632098765432096</v>
      </c>
      <c r="AF32" s="39">
        <v>-6.8</v>
      </c>
      <c r="AG32" s="39">
        <v>37.1</v>
      </c>
      <c r="AH32" s="39">
        <v>13.878</v>
      </c>
      <c r="AI32" s="51">
        <v>0.21299999999999999</v>
      </c>
      <c r="AJ32" s="53">
        <v>52.3</v>
      </c>
      <c r="AK32" s="63">
        <v>482.30844710882911</v>
      </c>
      <c r="AL32" s="63">
        <v>50.660529368778043</v>
      </c>
      <c r="AM32" s="63">
        <v>879.5</v>
      </c>
    </row>
    <row r="33" spans="1:39" x14ac:dyDescent="0.3">
      <c r="A33" s="19" t="s">
        <v>80</v>
      </c>
      <c r="B33" s="27" t="str">
        <f t="shared" si="4"/>
        <v>bom</v>
      </c>
      <c r="C33" s="59">
        <v>3</v>
      </c>
      <c r="D33" s="27">
        <v>0</v>
      </c>
      <c r="E33" s="67">
        <v>69</v>
      </c>
      <c r="F33" s="27">
        <v>0</v>
      </c>
      <c r="G33" s="27">
        <v>1</v>
      </c>
      <c r="H33" s="27">
        <v>0</v>
      </c>
      <c r="I33" s="27">
        <v>0</v>
      </c>
      <c r="J33" s="27">
        <v>1</v>
      </c>
      <c r="K33" s="27">
        <v>1</v>
      </c>
      <c r="L33" s="27">
        <v>1</v>
      </c>
      <c r="M33" s="27">
        <v>0</v>
      </c>
      <c r="N33" s="27">
        <v>1</v>
      </c>
      <c r="O33" s="27">
        <v>0</v>
      </c>
      <c r="P33" s="27">
        <v>0</v>
      </c>
      <c r="Q33" s="3">
        <v>81</v>
      </c>
      <c r="R33" s="3">
        <v>61</v>
      </c>
      <c r="S33" s="20">
        <v>2</v>
      </c>
      <c r="T33" s="20">
        <v>4</v>
      </c>
      <c r="U33" s="3">
        <v>114.2</v>
      </c>
      <c r="V33" s="3">
        <v>19</v>
      </c>
      <c r="W33" s="29">
        <v>37.780999999999999</v>
      </c>
      <c r="X33" s="29">
        <v>39.68</v>
      </c>
      <c r="Y33" s="29">
        <v>19.323</v>
      </c>
      <c r="Z33" s="3">
        <v>1.1879999999999999</v>
      </c>
      <c r="AA33" s="44">
        <f t="shared" si="0"/>
        <v>1188</v>
      </c>
      <c r="AB33" s="3">
        <v>5.7</v>
      </c>
      <c r="AC33" s="3">
        <v>90</v>
      </c>
      <c r="AD33" s="3">
        <v>16</v>
      </c>
      <c r="AE33" s="5">
        <f t="shared" si="3"/>
        <v>3.5555555555555554</v>
      </c>
      <c r="AF33" s="39">
        <v>0.5</v>
      </c>
      <c r="AG33" s="39">
        <v>36.25</v>
      </c>
      <c r="AH33" s="39">
        <v>16.044</v>
      </c>
      <c r="AI33" s="51">
        <v>0.443</v>
      </c>
      <c r="AJ33" s="53">
        <v>50.1</v>
      </c>
      <c r="AK33" s="63">
        <v>273.89621293531638</v>
      </c>
      <c r="AL33" s="63">
        <v>39.119999999999997</v>
      </c>
      <c r="AM33" s="63">
        <v>546.5</v>
      </c>
    </row>
    <row r="34" spans="1:39" x14ac:dyDescent="0.3">
      <c r="A34" s="19" t="s">
        <v>47</v>
      </c>
      <c r="B34" s="56" t="str">
        <f t="shared" si="4"/>
        <v>ruim</v>
      </c>
      <c r="C34" s="59">
        <v>7</v>
      </c>
      <c r="D34" s="27">
        <v>0</v>
      </c>
      <c r="E34" s="67">
        <v>71</v>
      </c>
      <c r="F34" s="56">
        <v>1</v>
      </c>
      <c r="G34" s="56">
        <v>1</v>
      </c>
      <c r="H34" s="56">
        <v>0</v>
      </c>
      <c r="I34" s="56">
        <v>0</v>
      </c>
      <c r="J34" s="56">
        <v>1</v>
      </c>
      <c r="K34" s="56">
        <v>1</v>
      </c>
      <c r="L34" s="56">
        <v>1</v>
      </c>
      <c r="M34" s="56">
        <v>1</v>
      </c>
      <c r="N34" s="56">
        <v>1</v>
      </c>
      <c r="O34" s="56">
        <v>1</v>
      </c>
      <c r="P34" s="56">
        <v>0</v>
      </c>
      <c r="Q34" s="39"/>
      <c r="R34" s="39"/>
      <c r="S34" s="20">
        <v>13</v>
      </c>
      <c r="T34" s="20">
        <v>7</v>
      </c>
      <c r="U34" s="3">
        <v>118.5</v>
      </c>
      <c r="V34" s="3">
        <v>17</v>
      </c>
      <c r="W34" s="29">
        <v>37.034799999999997</v>
      </c>
      <c r="X34" s="29">
        <v>46.462000000000003</v>
      </c>
      <c r="Y34" s="29">
        <v>22.282</v>
      </c>
      <c r="Z34" s="3">
        <v>1.2649999999999999</v>
      </c>
      <c r="AA34" s="44">
        <f t="shared" ref="AA34:AA66" si="5">Z34*1000</f>
        <v>1265</v>
      </c>
      <c r="AB34" s="3">
        <v>7.7</v>
      </c>
      <c r="AC34" s="3">
        <v>112</v>
      </c>
      <c r="AD34" s="3">
        <v>5</v>
      </c>
      <c r="AE34" s="5">
        <f t="shared" si="3"/>
        <v>1.382716049382716</v>
      </c>
      <c r="AF34" s="39">
        <v>-7.7</v>
      </c>
      <c r="AG34" s="39">
        <v>36.9</v>
      </c>
      <c r="AH34" s="39">
        <v>14.558999999999999</v>
      </c>
      <c r="AI34" s="51">
        <v>0.39500000000000002</v>
      </c>
      <c r="AJ34" s="53">
        <v>54.6</v>
      </c>
    </row>
    <row r="35" spans="1:39" x14ac:dyDescent="0.3">
      <c r="A35" s="19" t="s">
        <v>48</v>
      </c>
      <c r="B35" s="27" t="str">
        <f t="shared" si="4"/>
        <v>ruim</v>
      </c>
      <c r="C35" s="59">
        <v>7</v>
      </c>
      <c r="D35" s="56">
        <v>0</v>
      </c>
      <c r="E35" s="67">
        <v>65</v>
      </c>
      <c r="F35" s="27">
        <v>0</v>
      </c>
      <c r="G35" s="27">
        <v>1</v>
      </c>
      <c r="H35" s="27">
        <v>0</v>
      </c>
      <c r="I35" s="27">
        <v>0</v>
      </c>
      <c r="J35" s="27">
        <v>0</v>
      </c>
      <c r="K35" s="27">
        <v>0</v>
      </c>
      <c r="L35" s="27">
        <v>1</v>
      </c>
      <c r="M35" s="27">
        <v>0</v>
      </c>
      <c r="N35" s="27">
        <v>0</v>
      </c>
      <c r="O35" s="27">
        <v>0</v>
      </c>
      <c r="P35" s="27">
        <v>0</v>
      </c>
      <c r="Q35" s="3">
        <v>58</v>
      </c>
      <c r="R35" s="3">
        <v>29</v>
      </c>
      <c r="S35" s="20">
        <v>10</v>
      </c>
      <c r="T35" s="20">
        <v>4</v>
      </c>
      <c r="U35" s="21">
        <v>98</v>
      </c>
      <c r="V35" s="21">
        <v>20</v>
      </c>
      <c r="W35" s="22">
        <v>30.314</v>
      </c>
      <c r="X35" s="22">
        <v>38.792499999999997</v>
      </c>
      <c r="Y35" s="22">
        <v>23.0334</v>
      </c>
      <c r="Z35" s="21">
        <v>1.268</v>
      </c>
      <c r="AA35" s="44">
        <f t="shared" si="5"/>
        <v>1268</v>
      </c>
      <c r="AB35" s="21">
        <v>5.6</v>
      </c>
      <c r="AC35" s="21">
        <v>87</v>
      </c>
      <c r="AD35" s="21">
        <v>9</v>
      </c>
      <c r="AE35" s="5">
        <f t="shared" si="3"/>
        <v>1.9333333333333333</v>
      </c>
      <c r="AF35" s="39"/>
      <c r="AG35" s="39">
        <v>36.46</v>
      </c>
      <c r="AH35" s="39">
        <v>12.087</v>
      </c>
      <c r="AI35" s="51">
        <v>0.33200000000000002</v>
      </c>
      <c r="AJ35" s="53">
        <v>54.8</v>
      </c>
      <c r="AK35" s="63">
        <v>365.33714467004307</v>
      </c>
      <c r="AL35" s="63">
        <v>43.614221411298708</v>
      </c>
      <c r="AM35" s="63">
        <v>490.35483430171968</v>
      </c>
    </row>
    <row r="36" spans="1:39" x14ac:dyDescent="0.3">
      <c r="A36" s="19" t="s">
        <v>81</v>
      </c>
      <c r="B36" s="27" t="str">
        <f t="shared" si="4"/>
        <v>bom</v>
      </c>
      <c r="C36" s="59">
        <v>5</v>
      </c>
      <c r="D36" s="56">
        <v>0</v>
      </c>
      <c r="E36" s="67">
        <v>65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1</v>
      </c>
      <c r="P36" s="27">
        <v>0</v>
      </c>
      <c r="Q36" s="3">
        <v>82</v>
      </c>
      <c r="R36" s="3">
        <v>78</v>
      </c>
      <c r="S36" s="20">
        <v>3</v>
      </c>
      <c r="T36" s="20">
        <v>2</v>
      </c>
      <c r="U36" s="21">
        <v>101</v>
      </c>
      <c r="V36" s="36">
        <v>17</v>
      </c>
      <c r="W36" s="22">
        <v>36.563000000000002</v>
      </c>
      <c r="X36" s="22">
        <v>41.131</v>
      </c>
      <c r="Y36" s="22">
        <v>20.428000000000001</v>
      </c>
      <c r="Z36" s="21">
        <v>1</v>
      </c>
      <c r="AA36" s="44">
        <f t="shared" si="5"/>
        <v>1000</v>
      </c>
      <c r="AB36" s="21">
        <v>5.0999999999999996</v>
      </c>
      <c r="AC36" s="21">
        <v>89</v>
      </c>
      <c r="AD36" s="21">
        <v>16.8</v>
      </c>
      <c r="AE36" s="5">
        <f t="shared" si="3"/>
        <v>3.6918518518518519</v>
      </c>
      <c r="AF36" s="39">
        <v>-2.8</v>
      </c>
      <c r="AG36" s="39">
        <v>31.5</v>
      </c>
      <c r="AH36" s="39">
        <v>15.153</v>
      </c>
      <c r="AI36" s="51">
        <v>0.48099999999999998</v>
      </c>
      <c r="AJ36" s="53">
        <v>51.5</v>
      </c>
      <c r="AK36" s="63">
        <v>463.38944295640431</v>
      </c>
      <c r="AL36" s="63">
        <v>49.274999999999991</v>
      </c>
      <c r="AM36" s="63">
        <v>499.5</v>
      </c>
    </row>
    <row r="37" spans="1:39" ht="28.8" x14ac:dyDescent="0.3">
      <c r="A37" s="19" t="s">
        <v>9</v>
      </c>
      <c r="B37" s="56" t="str">
        <f t="shared" si="4"/>
        <v>ruim</v>
      </c>
      <c r="C37" s="59">
        <v>8</v>
      </c>
      <c r="D37" s="27">
        <v>0</v>
      </c>
      <c r="E37" s="66">
        <v>66</v>
      </c>
      <c r="F37" s="56">
        <v>0</v>
      </c>
      <c r="G37" s="56">
        <v>1</v>
      </c>
      <c r="H37" s="56">
        <v>1</v>
      </c>
      <c r="I37" s="56">
        <v>0</v>
      </c>
      <c r="J37" s="56">
        <v>1</v>
      </c>
      <c r="K37" s="56">
        <v>0</v>
      </c>
      <c r="L37" s="56">
        <v>1</v>
      </c>
      <c r="M37" s="56">
        <v>0</v>
      </c>
      <c r="N37" s="56">
        <v>1</v>
      </c>
      <c r="O37" s="56">
        <v>1</v>
      </c>
      <c r="P37" s="56">
        <v>1</v>
      </c>
      <c r="Q37" s="3">
        <v>74</v>
      </c>
      <c r="R37" s="3">
        <v>77</v>
      </c>
      <c r="S37" s="20">
        <v>0</v>
      </c>
      <c r="T37" s="20">
        <v>2</v>
      </c>
      <c r="U37" s="27">
        <v>116.4</v>
      </c>
      <c r="V37" s="24">
        <v>21</v>
      </c>
      <c r="W37" s="28">
        <v>41.55</v>
      </c>
      <c r="X37" s="28">
        <v>49.880200000000002</v>
      </c>
      <c r="Y37" s="28">
        <v>26.045200000000001</v>
      </c>
      <c r="Z37" s="27">
        <v>0.76800000000000002</v>
      </c>
      <c r="AA37" s="44">
        <f t="shared" si="5"/>
        <v>768</v>
      </c>
      <c r="AB37" s="3">
        <v>6.6</v>
      </c>
      <c r="AC37" s="3">
        <v>103</v>
      </c>
      <c r="AD37" s="3">
        <v>21.2</v>
      </c>
      <c r="AE37" s="5">
        <f t="shared" si="3"/>
        <v>5.3916049382716045</v>
      </c>
      <c r="AF37" s="39">
        <v>-0.9</v>
      </c>
      <c r="AG37" s="39">
        <v>35.9</v>
      </c>
      <c r="AH37" s="39">
        <v>16.385999999999999</v>
      </c>
      <c r="AI37" s="51">
        <v>0.45600000000000002</v>
      </c>
      <c r="AJ37" s="53">
        <v>53.4</v>
      </c>
      <c r="AK37" s="63">
        <v>269.65034041692547</v>
      </c>
      <c r="AL37" s="63">
        <v>45.248266370302247</v>
      </c>
      <c r="AM37" s="63">
        <v>841.5</v>
      </c>
    </row>
    <row r="38" spans="1:39" x14ac:dyDescent="0.3">
      <c r="A38" s="19" t="s">
        <v>82</v>
      </c>
      <c r="B38" s="27" t="str">
        <f t="shared" si="4"/>
        <v>ruim</v>
      </c>
      <c r="C38" s="59">
        <v>9</v>
      </c>
      <c r="D38" s="27">
        <v>0</v>
      </c>
      <c r="E38" s="67">
        <v>82</v>
      </c>
      <c r="F38" s="27">
        <v>1</v>
      </c>
      <c r="G38" s="27">
        <v>1</v>
      </c>
      <c r="H38" s="27">
        <v>1</v>
      </c>
      <c r="I38" s="27">
        <v>0</v>
      </c>
      <c r="J38" s="27">
        <v>0</v>
      </c>
      <c r="K38" s="27">
        <v>1</v>
      </c>
      <c r="L38" s="27">
        <v>1</v>
      </c>
      <c r="M38" s="27">
        <v>1</v>
      </c>
      <c r="N38" s="27">
        <v>0</v>
      </c>
      <c r="O38" s="27">
        <v>0</v>
      </c>
      <c r="P38" s="27">
        <v>1</v>
      </c>
      <c r="Q38" s="3">
        <v>34</v>
      </c>
      <c r="R38" s="3">
        <v>63</v>
      </c>
      <c r="S38" s="20">
        <v>9</v>
      </c>
      <c r="T38" s="20">
        <v>3</v>
      </c>
      <c r="U38" s="3">
        <v>98</v>
      </c>
      <c r="V38" s="3">
        <v>16</v>
      </c>
      <c r="W38" s="29">
        <v>35.827500000000001</v>
      </c>
      <c r="X38" s="29">
        <v>33.204000000000001</v>
      </c>
      <c r="Y38" s="29">
        <v>16.404</v>
      </c>
      <c r="Z38" s="3">
        <v>0.99199999999999999</v>
      </c>
      <c r="AA38" s="44">
        <f t="shared" si="5"/>
        <v>992</v>
      </c>
      <c r="AB38" s="3">
        <v>6.6</v>
      </c>
      <c r="AC38" s="3">
        <v>118</v>
      </c>
      <c r="AE38" s="5"/>
      <c r="AF38" s="39">
        <v>-0.7</v>
      </c>
      <c r="AG38" s="39">
        <v>31</v>
      </c>
      <c r="AH38" s="39">
        <v>15.425000000000001</v>
      </c>
      <c r="AI38" s="51">
        <v>0.498</v>
      </c>
      <c r="AJ38" s="53">
        <v>46.5</v>
      </c>
      <c r="AK38" s="63">
        <v>333.64310805957058</v>
      </c>
      <c r="AL38" s="63">
        <v>36.732662998702878</v>
      </c>
      <c r="AM38" s="63">
        <v>658.78824466812466</v>
      </c>
    </row>
    <row r="39" spans="1:39" x14ac:dyDescent="0.3">
      <c r="A39" s="19" t="s">
        <v>49</v>
      </c>
      <c r="B39" s="27" t="str">
        <f t="shared" si="4"/>
        <v>ruim</v>
      </c>
      <c r="C39" s="59">
        <v>8</v>
      </c>
      <c r="D39" s="56">
        <v>0</v>
      </c>
      <c r="E39" s="67">
        <v>69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1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3">
        <v>24</v>
      </c>
      <c r="R39" s="3">
        <v>28</v>
      </c>
      <c r="S39" s="20">
        <v>19</v>
      </c>
      <c r="T39" s="20">
        <v>3</v>
      </c>
      <c r="U39" s="3">
        <v>108</v>
      </c>
      <c r="V39" s="3">
        <v>16</v>
      </c>
      <c r="W39" s="29">
        <v>34.603099999999998</v>
      </c>
      <c r="X39" s="29">
        <v>35.779200000000003</v>
      </c>
      <c r="Y39" s="29">
        <v>19.658100000000001</v>
      </c>
      <c r="Z39" s="3">
        <v>1.113</v>
      </c>
      <c r="AA39" s="44">
        <f t="shared" si="5"/>
        <v>1113</v>
      </c>
      <c r="AB39" s="3">
        <v>5.5</v>
      </c>
      <c r="AC39" s="3">
        <v>91</v>
      </c>
      <c r="AD39" s="3">
        <v>8</v>
      </c>
      <c r="AE39" s="5">
        <f>AC39*AD39/405</f>
        <v>1.7975308641975309</v>
      </c>
      <c r="AF39" s="39">
        <v>-2.5</v>
      </c>
      <c r="AG39" s="39">
        <v>30.04</v>
      </c>
      <c r="AH39" s="39">
        <v>13.79</v>
      </c>
      <c r="AI39" s="51">
        <v>0.45900000000000002</v>
      </c>
      <c r="AJ39" s="53">
        <v>49.6</v>
      </c>
      <c r="AK39" s="63">
        <v>327.5</v>
      </c>
      <c r="AL39" s="63">
        <v>42.225000000000009</v>
      </c>
      <c r="AM39" s="63">
        <v>455</v>
      </c>
    </row>
    <row r="40" spans="1:39" x14ac:dyDescent="0.3">
      <c r="A40" s="19" t="s">
        <v>10</v>
      </c>
      <c r="B40" s="56" t="str">
        <f t="shared" si="4"/>
        <v>bom</v>
      </c>
      <c r="C40" s="59">
        <v>5</v>
      </c>
      <c r="D40" s="27">
        <v>0</v>
      </c>
      <c r="E40" s="67">
        <v>66</v>
      </c>
      <c r="F40" s="56">
        <v>0</v>
      </c>
      <c r="G40" s="56">
        <v>1</v>
      </c>
      <c r="H40" s="56">
        <v>0</v>
      </c>
      <c r="I40" s="56">
        <v>0</v>
      </c>
      <c r="J40" s="56">
        <v>0</v>
      </c>
      <c r="K40" s="56">
        <v>1</v>
      </c>
      <c r="L40" s="56">
        <v>1</v>
      </c>
      <c r="M40" s="56">
        <v>0</v>
      </c>
      <c r="N40" s="56">
        <v>0</v>
      </c>
      <c r="O40" s="56">
        <v>0</v>
      </c>
      <c r="P40" s="56">
        <v>0</v>
      </c>
      <c r="Q40" s="3">
        <v>49</v>
      </c>
      <c r="R40" s="3">
        <v>92</v>
      </c>
      <c r="S40" s="20">
        <v>2</v>
      </c>
      <c r="T40" s="20">
        <v>1</v>
      </c>
      <c r="U40" s="3">
        <v>101</v>
      </c>
      <c r="V40" s="5">
        <v>13</v>
      </c>
      <c r="W40" s="29">
        <v>40.486600000000003</v>
      </c>
      <c r="X40" s="29">
        <v>44.326999999999998</v>
      </c>
      <c r="Y40" s="29">
        <v>21.713000000000001</v>
      </c>
      <c r="Z40" s="3">
        <v>0.75800000000000001</v>
      </c>
      <c r="AA40" s="44">
        <f t="shared" si="5"/>
        <v>758</v>
      </c>
      <c r="AB40" s="3">
        <v>5.6</v>
      </c>
      <c r="AC40" s="3">
        <v>79</v>
      </c>
      <c r="AD40" s="3" t="s">
        <v>105</v>
      </c>
      <c r="AE40" s="5"/>
      <c r="AF40" s="39">
        <v>0.4</v>
      </c>
      <c r="AG40" s="39">
        <v>32.1</v>
      </c>
      <c r="AH40" s="39">
        <v>16.167999999999999</v>
      </c>
      <c r="AI40" s="51">
        <v>0.504</v>
      </c>
      <c r="AJ40" s="53">
        <v>51.1</v>
      </c>
      <c r="AK40" s="63">
        <v>129.20582582738641</v>
      </c>
      <c r="AL40" s="63">
        <v>22.41</v>
      </c>
      <c r="AM40" s="63">
        <v>509.5</v>
      </c>
    </row>
    <row r="41" spans="1:39" x14ac:dyDescent="0.3">
      <c r="A41" s="19" t="s">
        <v>83</v>
      </c>
      <c r="B41" s="27" t="str">
        <f t="shared" si="4"/>
        <v>ruim</v>
      </c>
      <c r="C41" s="59">
        <v>11</v>
      </c>
      <c r="D41" s="27">
        <v>1</v>
      </c>
      <c r="E41" s="67">
        <v>73</v>
      </c>
      <c r="F41" s="27">
        <v>0</v>
      </c>
      <c r="G41" s="27">
        <v>1</v>
      </c>
      <c r="H41" s="27">
        <v>0</v>
      </c>
      <c r="I41" s="27">
        <v>0</v>
      </c>
      <c r="J41" s="27">
        <v>1</v>
      </c>
      <c r="K41" s="27">
        <v>1</v>
      </c>
      <c r="L41" s="27">
        <v>1</v>
      </c>
      <c r="M41" s="27">
        <v>0</v>
      </c>
      <c r="N41" s="27">
        <v>1</v>
      </c>
      <c r="O41" s="27">
        <v>0</v>
      </c>
      <c r="P41" s="27">
        <v>0</v>
      </c>
      <c r="Q41" s="3">
        <v>36</v>
      </c>
      <c r="R41" s="3">
        <v>63</v>
      </c>
      <c r="S41" s="20">
        <v>7</v>
      </c>
      <c r="T41" s="20">
        <v>7</v>
      </c>
      <c r="U41" s="3">
        <v>107.3</v>
      </c>
      <c r="V41" s="3">
        <v>26</v>
      </c>
      <c r="W41" s="29">
        <v>50.779000000000003</v>
      </c>
      <c r="X41" s="29">
        <v>35.135399999999997</v>
      </c>
      <c r="Y41" s="29">
        <v>20.228999999999999</v>
      </c>
      <c r="Z41" s="3">
        <v>1.423</v>
      </c>
      <c r="AA41" s="44">
        <f t="shared" si="5"/>
        <v>1423</v>
      </c>
      <c r="AB41" s="3">
        <v>5.3</v>
      </c>
      <c r="AC41" s="3">
        <v>94</v>
      </c>
      <c r="AD41" s="3">
        <v>12.7</v>
      </c>
      <c r="AE41" s="5">
        <f>AC41*AD41/405</f>
        <v>2.9476543209876542</v>
      </c>
      <c r="AF41" s="39">
        <v>-4.0999999999999996</v>
      </c>
      <c r="AG41" s="39">
        <v>31.1</v>
      </c>
      <c r="AH41" s="39">
        <v>22.407</v>
      </c>
      <c r="AI41" s="51">
        <v>0.72</v>
      </c>
      <c r="AJ41" s="53">
        <v>39.6</v>
      </c>
      <c r="AK41" s="63">
        <v>614.45000000000005</v>
      </c>
      <c r="AL41" s="63">
        <v>56.340000000000032</v>
      </c>
      <c r="AM41" s="63">
        <v>621</v>
      </c>
    </row>
    <row r="42" spans="1:39" x14ac:dyDescent="0.3">
      <c r="A42" s="19" t="s">
        <v>50</v>
      </c>
      <c r="B42" s="27" t="str">
        <f t="shared" si="4"/>
        <v>bom</v>
      </c>
      <c r="C42" s="59">
        <v>5</v>
      </c>
      <c r="D42" s="56">
        <v>1</v>
      </c>
      <c r="E42" s="67">
        <v>67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3">
        <v>81</v>
      </c>
      <c r="R42" s="3">
        <v>62</v>
      </c>
      <c r="S42" s="20">
        <v>9</v>
      </c>
      <c r="T42" s="20">
        <v>3</v>
      </c>
      <c r="U42" s="3">
        <v>111.2</v>
      </c>
      <c r="V42" s="3">
        <v>26</v>
      </c>
      <c r="W42" s="29">
        <v>52.01</v>
      </c>
      <c r="X42" s="29">
        <v>28.785</v>
      </c>
      <c r="Y42" s="29">
        <v>16.608000000000001</v>
      </c>
      <c r="Z42" s="3">
        <v>1.0980000000000001</v>
      </c>
      <c r="AA42" s="44">
        <f t="shared" si="5"/>
        <v>1098</v>
      </c>
      <c r="AB42" s="3">
        <v>5.6</v>
      </c>
      <c r="AC42" s="3">
        <v>106</v>
      </c>
      <c r="AD42" s="3">
        <v>9</v>
      </c>
      <c r="AE42" s="5">
        <f>AC42*AD42/405</f>
        <v>2.3555555555555556</v>
      </c>
      <c r="AF42" s="39">
        <v>-9.8000000000000007</v>
      </c>
      <c r="AG42" s="39">
        <v>30.2</v>
      </c>
      <c r="AH42" s="39">
        <v>22.436</v>
      </c>
      <c r="AI42" s="51">
        <v>0.74299999999999999</v>
      </c>
      <c r="AJ42" s="53">
        <v>34.299999999999997</v>
      </c>
      <c r="AK42" s="63">
        <v>166.26033850515941</v>
      </c>
      <c r="AL42" s="63">
        <v>27.31</v>
      </c>
      <c r="AM42" s="63">
        <v>635</v>
      </c>
    </row>
    <row r="43" spans="1:39" x14ac:dyDescent="0.3">
      <c r="A43" s="19" t="s">
        <v>11</v>
      </c>
      <c r="B43" s="56" t="str">
        <f t="shared" si="4"/>
        <v>ruim</v>
      </c>
      <c r="C43" s="59">
        <v>10</v>
      </c>
      <c r="D43" s="56">
        <v>1</v>
      </c>
      <c r="E43" s="66">
        <v>65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56">
        <v>0</v>
      </c>
      <c r="M43" s="56">
        <v>0</v>
      </c>
      <c r="N43" s="56">
        <v>0</v>
      </c>
      <c r="O43" s="56">
        <v>0</v>
      </c>
      <c r="P43" s="56">
        <v>0</v>
      </c>
      <c r="Q43" s="3">
        <v>58</v>
      </c>
      <c r="R43" s="3">
        <v>51</v>
      </c>
      <c r="S43" s="20">
        <v>2</v>
      </c>
      <c r="T43" s="20">
        <v>2</v>
      </c>
      <c r="U43" s="27">
        <v>110.5</v>
      </c>
      <c r="V43" s="24">
        <v>31</v>
      </c>
      <c r="W43" s="28">
        <v>50.002000000000002</v>
      </c>
      <c r="X43" s="28">
        <v>35.610999999999997</v>
      </c>
      <c r="Y43" s="28">
        <v>19.152000000000001</v>
      </c>
      <c r="Z43" s="27">
        <v>1.464</v>
      </c>
      <c r="AA43" s="44">
        <f t="shared" si="5"/>
        <v>1464</v>
      </c>
      <c r="AB43" s="3">
        <v>5.7</v>
      </c>
      <c r="AC43" s="3">
        <v>104</v>
      </c>
      <c r="AD43" s="3">
        <v>14.6</v>
      </c>
      <c r="AE43" s="5">
        <f>AC43*AD43/405</f>
        <v>3.7491358024691355</v>
      </c>
      <c r="AF43" s="39">
        <v>-0.5</v>
      </c>
      <c r="AG43" s="39">
        <v>32.4</v>
      </c>
      <c r="AH43" s="39">
        <v>23.081</v>
      </c>
      <c r="AI43" s="51">
        <v>0.71199999999999997</v>
      </c>
      <c r="AJ43" s="53">
        <v>40.200000000000003</v>
      </c>
      <c r="AK43" s="63">
        <v>361.2</v>
      </c>
      <c r="AL43" s="63">
        <v>37.069999999999993</v>
      </c>
      <c r="AM43" s="63">
        <v>764</v>
      </c>
    </row>
    <row r="44" spans="1:39" x14ac:dyDescent="0.3">
      <c r="A44" s="19" t="s">
        <v>12</v>
      </c>
      <c r="B44" s="27" t="str">
        <f t="shared" si="4"/>
        <v>ruim</v>
      </c>
      <c r="C44" s="59">
        <v>6</v>
      </c>
      <c r="D44" s="27">
        <v>0</v>
      </c>
      <c r="E44" s="67">
        <v>68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1</v>
      </c>
      <c r="O44" s="27">
        <v>1</v>
      </c>
      <c r="P44" s="27">
        <v>0</v>
      </c>
      <c r="Q44" s="3">
        <v>77</v>
      </c>
      <c r="R44" s="3">
        <v>51</v>
      </c>
      <c r="S44" s="20">
        <v>7</v>
      </c>
      <c r="T44" s="20">
        <v>0</v>
      </c>
      <c r="U44" s="3">
        <v>117.5</v>
      </c>
      <c r="V44" s="3">
        <v>22</v>
      </c>
      <c r="W44" s="29">
        <v>37.83</v>
      </c>
      <c r="X44" s="29">
        <v>44.978099999999998</v>
      </c>
      <c r="Y44" s="29">
        <v>23.388300000000001</v>
      </c>
      <c r="Z44" s="3">
        <v>1.079</v>
      </c>
      <c r="AA44" s="44">
        <f t="shared" si="5"/>
        <v>1079</v>
      </c>
      <c r="AB44" s="3">
        <v>5.7</v>
      </c>
      <c r="AC44" s="3">
        <v>108</v>
      </c>
      <c r="AD44" s="3">
        <v>9.4</v>
      </c>
      <c r="AE44" s="5">
        <f>AC44*AD44/405</f>
        <v>2.5066666666666668</v>
      </c>
      <c r="AF44" s="39">
        <v>0.2</v>
      </c>
      <c r="AG44" s="39">
        <v>41.6</v>
      </c>
      <c r="AH44" s="39">
        <v>16.291</v>
      </c>
      <c r="AI44" s="51">
        <v>0.39200000000000002</v>
      </c>
      <c r="AJ44" s="53">
        <v>53.2</v>
      </c>
      <c r="AK44" s="63">
        <v>456.24999999999989</v>
      </c>
      <c r="AL44" s="63">
        <v>47.344999999999999</v>
      </c>
      <c r="AM44" s="63">
        <v>597.5</v>
      </c>
    </row>
    <row r="45" spans="1:39" x14ac:dyDescent="0.3">
      <c r="A45" s="19" t="s">
        <v>51</v>
      </c>
      <c r="B45" s="27" t="str">
        <f t="shared" si="4"/>
        <v>bom</v>
      </c>
      <c r="C45" s="59">
        <v>3</v>
      </c>
      <c r="D45" s="27">
        <v>0</v>
      </c>
      <c r="E45" s="66">
        <v>74</v>
      </c>
      <c r="F45" s="27">
        <v>0</v>
      </c>
      <c r="G45" s="27">
        <v>1</v>
      </c>
      <c r="H45" s="27">
        <v>1</v>
      </c>
      <c r="I45" s="27">
        <v>0</v>
      </c>
      <c r="J45" s="27">
        <v>0</v>
      </c>
      <c r="K45" s="27">
        <v>1</v>
      </c>
      <c r="L45" s="27">
        <v>1</v>
      </c>
      <c r="M45" s="27">
        <v>0</v>
      </c>
      <c r="N45" s="27">
        <v>0</v>
      </c>
      <c r="O45" s="27">
        <v>0</v>
      </c>
      <c r="P45" s="27">
        <v>1</v>
      </c>
      <c r="Q45" s="3">
        <v>66</v>
      </c>
      <c r="R45" s="3">
        <v>56</v>
      </c>
      <c r="S45" s="20">
        <v>16</v>
      </c>
      <c r="T45" s="20">
        <v>3</v>
      </c>
      <c r="U45" s="24">
        <v>106.5</v>
      </c>
      <c r="V45" s="24">
        <v>20</v>
      </c>
      <c r="W45" s="25">
        <v>40.811</v>
      </c>
      <c r="X45" s="25">
        <v>34.8581</v>
      </c>
      <c r="Y45" s="25">
        <v>16.512699999999999</v>
      </c>
      <c r="Z45" s="24">
        <v>0.749</v>
      </c>
      <c r="AA45" s="44">
        <f t="shared" si="5"/>
        <v>749</v>
      </c>
      <c r="AB45" s="26">
        <v>4.9000000000000004</v>
      </c>
      <c r="AC45" s="26">
        <v>77</v>
      </c>
      <c r="AD45" s="26">
        <v>9.5</v>
      </c>
      <c r="AE45" s="5">
        <f>AC45*AD45/405</f>
        <v>1.8061728395061729</v>
      </c>
      <c r="AF45" s="39">
        <v>-6.1</v>
      </c>
      <c r="AG45" s="39">
        <v>38</v>
      </c>
      <c r="AH45" s="39">
        <v>17.97</v>
      </c>
      <c r="AI45" s="51">
        <v>0.47299999999999998</v>
      </c>
      <c r="AJ45" s="53">
        <v>45</v>
      </c>
      <c r="AK45" s="63">
        <v>107.9606350411154</v>
      </c>
      <c r="AL45" s="63">
        <v>23.351508878792121</v>
      </c>
      <c r="AM45" s="63">
        <v>584</v>
      </c>
    </row>
    <row r="46" spans="1:39" x14ac:dyDescent="0.3">
      <c r="A46" s="19" t="s">
        <v>52</v>
      </c>
      <c r="B46" s="56" t="str">
        <f t="shared" si="4"/>
        <v>bom</v>
      </c>
      <c r="C46" s="59">
        <v>3</v>
      </c>
      <c r="D46" s="56">
        <v>1</v>
      </c>
      <c r="E46" s="66">
        <v>75</v>
      </c>
      <c r="F46" s="56">
        <v>0</v>
      </c>
      <c r="G46" s="56">
        <v>1</v>
      </c>
      <c r="H46" s="56">
        <v>0</v>
      </c>
      <c r="I46" s="56">
        <v>0</v>
      </c>
      <c r="J46" s="56">
        <v>1</v>
      </c>
      <c r="K46" s="56">
        <v>1</v>
      </c>
      <c r="L46" s="56">
        <v>1</v>
      </c>
      <c r="M46" s="56">
        <v>0</v>
      </c>
      <c r="N46" s="56">
        <v>1</v>
      </c>
      <c r="O46" s="56">
        <v>0</v>
      </c>
      <c r="P46" s="56">
        <v>0</v>
      </c>
      <c r="Q46" s="3">
        <v>85</v>
      </c>
      <c r="R46" s="3">
        <v>92</v>
      </c>
      <c r="S46" s="20">
        <v>0</v>
      </c>
      <c r="T46" s="20">
        <v>0</v>
      </c>
      <c r="U46" s="27">
        <v>96.4</v>
      </c>
      <c r="V46" s="24">
        <v>29</v>
      </c>
      <c r="W46" s="28">
        <v>45.488999999999997</v>
      </c>
      <c r="X46" s="28">
        <v>25.981000000000002</v>
      </c>
      <c r="Y46" s="28">
        <v>14.221</v>
      </c>
      <c r="Z46" s="27">
        <v>0.84599999999999997</v>
      </c>
      <c r="AA46" s="44">
        <f t="shared" si="5"/>
        <v>846</v>
      </c>
      <c r="AB46" s="3">
        <v>5.4</v>
      </c>
      <c r="AC46" s="3">
        <v>90</v>
      </c>
      <c r="AE46" s="5"/>
      <c r="AF46" s="39">
        <v>-2.6</v>
      </c>
      <c r="AG46" s="39">
        <v>30.5</v>
      </c>
      <c r="AH46" s="39">
        <v>20.315000000000001</v>
      </c>
      <c r="AI46" s="51">
        <v>0.66600000000000004</v>
      </c>
      <c r="AJ46" s="53">
        <v>35.200000000000003</v>
      </c>
      <c r="AK46" s="63">
        <v>470.15086100666929</v>
      </c>
      <c r="AL46" s="63">
        <v>49.713732168028969</v>
      </c>
      <c r="AM46" s="63">
        <v>463</v>
      </c>
    </row>
    <row r="47" spans="1:39" ht="28.8" x14ac:dyDescent="0.3">
      <c r="A47" s="19" t="s">
        <v>53</v>
      </c>
      <c r="B47" s="27" t="str">
        <f t="shared" si="4"/>
        <v>bom</v>
      </c>
      <c r="C47" s="59">
        <v>5</v>
      </c>
      <c r="D47" s="27">
        <v>0</v>
      </c>
      <c r="E47" s="66">
        <v>73</v>
      </c>
      <c r="F47" s="27">
        <v>0</v>
      </c>
      <c r="G47" s="27">
        <v>1</v>
      </c>
      <c r="H47" s="27">
        <v>0</v>
      </c>
      <c r="I47" s="27">
        <v>0</v>
      </c>
      <c r="J47" s="27">
        <v>1</v>
      </c>
      <c r="K47" s="27">
        <v>1</v>
      </c>
      <c r="L47" s="27">
        <v>1</v>
      </c>
      <c r="M47" s="27">
        <v>0</v>
      </c>
      <c r="N47" s="27">
        <v>1</v>
      </c>
      <c r="O47" s="27">
        <v>0</v>
      </c>
      <c r="P47" s="27">
        <v>0</v>
      </c>
      <c r="Q47" s="3">
        <v>86</v>
      </c>
      <c r="R47" s="3">
        <v>89</v>
      </c>
      <c r="S47" s="20">
        <v>5</v>
      </c>
      <c r="T47" s="20">
        <v>0</v>
      </c>
      <c r="U47" s="27">
        <v>107.2</v>
      </c>
      <c r="V47" s="24">
        <v>16</v>
      </c>
      <c r="W47" s="28">
        <v>33.451000000000001</v>
      </c>
      <c r="X47" s="28">
        <v>32.838000000000001</v>
      </c>
      <c r="Y47" s="28">
        <v>18.21</v>
      </c>
      <c r="Z47" s="27">
        <v>1.2430000000000001</v>
      </c>
      <c r="AA47" s="44">
        <f t="shared" si="5"/>
        <v>1243</v>
      </c>
      <c r="AB47" s="3">
        <v>5.7</v>
      </c>
      <c r="AC47" s="3">
        <v>99</v>
      </c>
      <c r="AD47" s="3">
        <v>11.3</v>
      </c>
      <c r="AE47" s="5">
        <f>AC47*AD47/405</f>
        <v>2.7622222222222224</v>
      </c>
      <c r="AF47" s="39">
        <v>-1.3</v>
      </c>
      <c r="AG47" s="39">
        <v>31.3</v>
      </c>
      <c r="AH47" s="39">
        <v>12.519</v>
      </c>
      <c r="AI47" s="51">
        <v>0.4</v>
      </c>
      <c r="AJ47" s="53">
        <v>48</v>
      </c>
      <c r="AK47" s="63">
        <v>406.67903479725902</v>
      </c>
      <c r="AL47" s="63">
        <v>57.33582343612143</v>
      </c>
      <c r="AM47" s="63">
        <v>525.5</v>
      </c>
    </row>
    <row r="48" spans="1:39" x14ac:dyDescent="0.3">
      <c r="A48" s="19" t="s">
        <v>13</v>
      </c>
      <c r="B48" s="27" t="str">
        <f t="shared" si="4"/>
        <v>bom</v>
      </c>
      <c r="C48" s="59">
        <v>4</v>
      </c>
      <c r="D48" s="27">
        <v>0</v>
      </c>
      <c r="E48" s="67">
        <v>70</v>
      </c>
      <c r="F48" s="27">
        <v>1</v>
      </c>
      <c r="G48" s="27">
        <v>0</v>
      </c>
      <c r="H48" s="27">
        <v>0</v>
      </c>
      <c r="I48" s="27">
        <v>0</v>
      </c>
      <c r="J48" s="27">
        <v>0</v>
      </c>
      <c r="K48" s="27">
        <v>1</v>
      </c>
      <c r="L48" s="27">
        <v>0</v>
      </c>
      <c r="M48" s="27">
        <v>1</v>
      </c>
      <c r="N48" s="27">
        <v>0</v>
      </c>
      <c r="O48" s="27">
        <v>0</v>
      </c>
      <c r="P48" s="27">
        <v>0</v>
      </c>
      <c r="Q48" s="3">
        <v>82</v>
      </c>
      <c r="R48" s="3">
        <v>96</v>
      </c>
      <c r="S48" s="20">
        <v>0</v>
      </c>
      <c r="T48" s="20">
        <v>0</v>
      </c>
      <c r="U48" s="3">
        <v>120.5</v>
      </c>
      <c r="V48" s="3">
        <v>16</v>
      </c>
      <c r="W48" s="29">
        <v>46.817500000000003</v>
      </c>
      <c r="X48" s="29">
        <v>45.150799999999997</v>
      </c>
      <c r="Y48" s="29">
        <v>24.834800000000001</v>
      </c>
      <c r="Z48" s="3">
        <v>1.5029999999999999</v>
      </c>
      <c r="AA48" s="44">
        <f t="shared" si="5"/>
        <v>1503</v>
      </c>
      <c r="AB48" s="3">
        <v>6.2</v>
      </c>
      <c r="AC48" s="3">
        <v>103</v>
      </c>
      <c r="AD48" s="3">
        <v>11</v>
      </c>
      <c r="AE48" s="5">
        <f>AC48*AD48/405</f>
        <v>2.7975308641975309</v>
      </c>
      <c r="AF48" s="39">
        <v>3.1</v>
      </c>
      <c r="AG48" s="39">
        <v>42.32</v>
      </c>
      <c r="AH48" s="39">
        <v>20.346</v>
      </c>
      <c r="AI48" s="51">
        <v>0.48099999999999998</v>
      </c>
      <c r="AJ48" s="53">
        <v>48.2</v>
      </c>
      <c r="AK48" s="63">
        <v>299.89999999999998</v>
      </c>
      <c r="AL48" s="63">
        <v>43.190000000000012</v>
      </c>
      <c r="AM48" s="63">
        <v>765.5</v>
      </c>
    </row>
    <row r="49" spans="1:39" x14ac:dyDescent="0.3">
      <c r="A49" s="37" t="s">
        <v>84</v>
      </c>
      <c r="B49" s="56" t="str">
        <f t="shared" si="4"/>
        <v>ruim</v>
      </c>
      <c r="C49" s="59">
        <v>11</v>
      </c>
      <c r="D49" s="56">
        <v>0</v>
      </c>
      <c r="E49" s="67">
        <v>71</v>
      </c>
      <c r="F49" s="56">
        <v>0</v>
      </c>
      <c r="G49" s="56">
        <v>0</v>
      </c>
      <c r="H49" s="56">
        <v>1</v>
      </c>
      <c r="I49" s="56">
        <v>0</v>
      </c>
      <c r="J49" s="56">
        <v>0</v>
      </c>
      <c r="K49" s="56">
        <v>0</v>
      </c>
      <c r="L49" s="56">
        <v>0</v>
      </c>
      <c r="M49" s="56">
        <v>0</v>
      </c>
      <c r="N49" s="56">
        <v>0</v>
      </c>
      <c r="O49" s="56">
        <v>1</v>
      </c>
      <c r="P49" s="56">
        <v>1</v>
      </c>
      <c r="Q49" s="3">
        <v>66</v>
      </c>
      <c r="R49" s="3">
        <v>45</v>
      </c>
      <c r="S49" s="20">
        <v>10</v>
      </c>
      <c r="T49" s="20">
        <v>7</v>
      </c>
      <c r="U49" s="3">
        <v>103</v>
      </c>
      <c r="V49" s="3">
        <v>16</v>
      </c>
      <c r="W49" s="29">
        <v>39.844999999999999</v>
      </c>
      <c r="X49" s="29">
        <v>39.511699999999998</v>
      </c>
      <c r="Y49" s="29">
        <v>20.5976</v>
      </c>
      <c r="Z49" s="3">
        <v>1.304</v>
      </c>
      <c r="AA49" s="44">
        <f t="shared" si="5"/>
        <v>1304</v>
      </c>
      <c r="AB49" s="3">
        <v>5.5</v>
      </c>
      <c r="AC49" s="3">
        <v>88</v>
      </c>
      <c r="AE49" s="5"/>
      <c r="AF49" s="39">
        <v>-7.6</v>
      </c>
      <c r="AG49" s="39">
        <v>33.590000000000003</v>
      </c>
      <c r="AH49" s="39">
        <v>16.004999999999999</v>
      </c>
      <c r="AI49" s="51">
        <v>0.47599999999999998</v>
      </c>
      <c r="AJ49" s="53">
        <v>48.5</v>
      </c>
      <c r="AK49" s="63">
        <v>146.30801755235291</v>
      </c>
      <c r="AL49" s="63">
        <v>26.89</v>
      </c>
      <c r="AM49" s="63">
        <v>491.5</v>
      </c>
    </row>
    <row r="50" spans="1:39" ht="28.8" x14ac:dyDescent="0.3">
      <c r="A50" s="19" t="s">
        <v>85</v>
      </c>
      <c r="B50" s="27" t="str">
        <f t="shared" si="4"/>
        <v>bom</v>
      </c>
      <c r="C50" s="59">
        <v>4</v>
      </c>
      <c r="D50" s="56">
        <v>1</v>
      </c>
      <c r="E50" s="67">
        <v>73</v>
      </c>
      <c r="F50" s="27">
        <v>1</v>
      </c>
      <c r="G50" s="27">
        <v>1</v>
      </c>
      <c r="H50" s="27">
        <v>0</v>
      </c>
      <c r="I50" s="27">
        <v>0</v>
      </c>
      <c r="J50" s="27">
        <v>0</v>
      </c>
      <c r="K50" s="27">
        <v>1</v>
      </c>
      <c r="L50" s="27">
        <v>1</v>
      </c>
      <c r="M50" s="27">
        <v>1</v>
      </c>
      <c r="N50" s="27">
        <v>0</v>
      </c>
      <c r="O50" s="27">
        <v>0</v>
      </c>
      <c r="P50" s="27">
        <v>0</v>
      </c>
      <c r="Q50" s="3">
        <v>40</v>
      </c>
      <c r="R50" s="3">
        <v>70</v>
      </c>
      <c r="S50" s="20">
        <v>5</v>
      </c>
      <c r="T50" s="20">
        <v>5</v>
      </c>
      <c r="U50" s="3">
        <v>134</v>
      </c>
      <c r="V50" s="3">
        <v>28</v>
      </c>
      <c r="W50" s="29">
        <v>57.501899999999999</v>
      </c>
      <c r="X50" s="29">
        <v>56.2</v>
      </c>
      <c r="Y50" s="29">
        <v>34.051600000000001</v>
      </c>
      <c r="Z50" s="3">
        <v>2.2679999999999998</v>
      </c>
      <c r="AA50" s="44">
        <f t="shared" si="5"/>
        <v>2268</v>
      </c>
      <c r="AB50" s="3">
        <v>6.3</v>
      </c>
      <c r="AC50" s="3">
        <v>109</v>
      </c>
      <c r="AE50" s="5"/>
      <c r="AF50" s="39">
        <v>-2.5</v>
      </c>
      <c r="AG50" s="39">
        <v>35.6</v>
      </c>
      <c r="AH50" s="39">
        <v>25.067</v>
      </c>
      <c r="AI50" s="51">
        <v>0.70399999999999996</v>
      </c>
      <c r="AJ50" s="53">
        <v>48.2</v>
      </c>
      <c r="AK50" s="63">
        <v>1480.4425588736181</v>
      </c>
      <c r="AL50" s="63">
        <v>78.679999999999978</v>
      </c>
      <c r="AM50" s="63">
        <v>663</v>
      </c>
    </row>
    <row r="51" spans="1:39" x14ac:dyDescent="0.3">
      <c r="A51" s="19" t="s">
        <v>14</v>
      </c>
      <c r="B51" s="27" t="str">
        <f t="shared" si="4"/>
        <v>bom</v>
      </c>
      <c r="C51" s="59">
        <v>1</v>
      </c>
      <c r="D51" s="27">
        <v>1</v>
      </c>
      <c r="E51" s="67">
        <v>77</v>
      </c>
      <c r="F51" s="27">
        <v>0</v>
      </c>
      <c r="G51" s="27">
        <v>1</v>
      </c>
      <c r="H51" s="27">
        <v>0</v>
      </c>
      <c r="I51" s="27">
        <v>0</v>
      </c>
      <c r="J51" s="27">
        <v>0</v>
      </c>
      <c r="K51" s="27">
        <v>0</v>
      </c>
      <c r="L51" s="27">
        <v>1</v>
      </c>
      <c r="M51" s="27">
        <v>0</v>
      </c>
      <c r="N51" s="27">
        <v>0</v>
      </c>
      <c r="O51" s="27">
        <v>0</v>
      </c>
      <c r="P51" s="27">
        <v>0</v>
      </c>
      <c r="Q51" s="3">
        <v>92</v>
      </c>
      <c r="R51" s="3">
        <v>89</v>
      </c>
      <c r="S51" s="20">
        <v>0</v>
      </c>
      <c r="T51" s="20">
        <v>0</v>
      </c>
      <c r="U51" s="3">
        <v>108.3</v>
      </c>
      <c r="V51" s="3">
        <v>30</v>
      </c>
      <c r="W51" s="29">
        <v>50.840600000000002</v>
      </c>
      <c r="X51" s="29">
        <v>32.148800000000001</v>
      </c>
      <c r="Y51" s="29">
        <v>17.678599999999999</v>
      </c>
      <c r="Z51" s="3">
        <v>1.4510000000000001</v>
      </c>
      <c r="AA51" s="44">
        <f t="shared" si="5"/>
        <v>1451</v>
      </c>
      <c r="AB51" s="3">
        <v>5.7</v>
      </c>
      <c r="AC51" s="3">
        <v>88</v>
      </c>
      <c r="AD51" s="3">
        <v>9</v>
      </c>
      <c r="AE51" s="5">
        <f>AC51*AD51/405</f>
        <v>1.9555555555555555</v>
      </c>
      <c r="AF51" s="39">
        <v>0.5</v>
      </c>
      <c r="AG51" s="39">
        <v>30.3</v>
      </c>
      <c r="AH51" s="39">
        <v>23.382000000000001</v>
      </c>
      <c r="AI51" s="51">
        <v>0.77200000000000002</v>
      </c>
      <c r="AJ51" s="53">
        <v>37.5</v>
      </c>
      <c r="AK51" s="63">
        <v>235.5</v>
      </c>
      <c r="AL51" s="63">
        <v>29.145</v>
      </c>
      <c r="AM51" s="63">
        <v>541.5</v>
      </c>
    </row>
    <row r="52" spans="1:39" x14ac:dyDescent="0.3">
      <c r="A52" s="19" t="s">
        <v>54</v>
      </c>
      <c r="B52" s="56" t="str">
        <f t="shared" si="4"/>
        <v>bom</v>
      </c>
      <c r="C52" s="59">
        <v>5</v>
      </c>
      <c r="D52" s="27">
        <v>1</v>
      </c>
      <c r="E52" s="67">
        <v>66</v>
      </c>
      <c r="F52" s="56">
        <v>1</v>
      </c>
      <c r="G52" s="56">
        <v>1</v>
      </c>
      <c r="H52" s="56">
        <v>0</v>
      </c>
      <c r="I52" s="56">
        <v>0</v>
      </c>
      <c r="J52" s="56">
        <v>1</v>
      </c>
      <c r="K52" s="56">
        <v>1</v>
      </c>
      <c r="L52" s="56">
        <v>1</v>
      </c>
      <c r="M52" s="56">
        <v>1</v>
      </c>
      <c r="N52" s="56">
        <v>1</v>
      </c>
      <c r="O52" s="56">
        <v>0</v>
      </c>
      <c r="P52" s="56">
        <v>0</v>
      </c>
      <c r="Q52" s="3">
        <v>59</v>
      </c>
      <c r="R52" s="3">
        <v>62</v>
      </c>
      <c r="S52" s="20">
        <v>5</v>
      </c>
      <c r="T52" s="20">
        <v>3</v>
      </c>
      <c r="U52" s="3">
        <v>111</v>
      </c>
      <c r="V52" s="33">
        <v>19</v>
      </c>
      <c r="W52" s="29">
        <v>50.597999999999999</v>
      </c>
      <c r="X52" s="29">
        <v>34.671500000000002</v>
      </c>
      <c r="Y52" s="29">
        <v>22.581499999999998</v>
      </c>
      <c r="Z52" s="3">
        <v>1.921</v>
      </c>
      <c r="AA52" s="44">
        <f t="shared" si="5"/>
        <v>1921</v>
      </c>
      <c r="AB52" s="3">
        <v>6</v>
      </c>
      <c r="AC52" s="3">
        <v>118</v>
      </c>
      <c r="AD52" s="3">
        <v>26.1</v>
      </c>
      <c r="AE52" s="5">
        <f>AC52*AD52/405</f>
        <v>7.6044444444444448</v>
      </c>
      <c r="AF52" s="39">
        <v>-6.6</v>
      </c>
      <c r="AG52" s="39">
        <v>32.200000000000003</v>
      </c>
      <c r="AH52" s="39">
        <v>22.242999999999999</v>
      </c>
      <c r="AI52" s="51">
        <v>0.69099999999999995</v>
      </c>
      <c r="AJ52" s="53">
        <v>39.6</v>
      </c>
      <c r="AK52" s="63">
        <v>642.1</v>
      </c>
      <c r="AL52" s="63">
        <v>56.595000000000013</v>
      </c>
      <c r="AM52" s="63">
        <v>829</v>
      </c>
    </row>
    <row r="53" spans="1:39" x14ac:dyDescent="0.3">
      <c r="A53" s="19" t="s">
        <v>55</v>
      </c>
      <c r="B53" s="27" t="str">
        <f t="shared" si="4"/>
        <v>bom</v>
      </c>
      <c r="C53" s="59">
        <v>5</v>
      </c>
      <c r="D53" s="56">
        <v>1</v>
      </c>
      <c r="E53" s="67">
        <v>71</v>
      </c>
      <c r="F53" s="27">
        <v>1</v>
      </c>
      <c r="G53" s="27">
        <v>1</v>
      </c>
      <c r="H53" s="27">
        <v>0</v>
      </c>
      <c r="I53" s="27">
        <v>0</v>
      </c>
      <c r="J53" s="27">
        <v>1</v>
      </c>
      <c r="K53" s="27">
        <v>0</v>
      </c>
      <c r="L53" s="27">
        <v>1</v>
      </c>
      <c r="M53" s="27">
        <v>1</v>
      </c>
      <c r="N53" s="27">
        <v>1</v>
      </c>
      <c r="O53" s="27">
        <v>0</v>
      </c>
      <c r="P53" s="27">
        <v>0</v>
      </c>
      <c r="Q53" s="3">
        <v>61</v>
      </c>
      <c r="R53" s="3">
        <v>66</v>
      </c>
      <c r="S53" s="20">
        <v>3</v>
      </c>
      <c r="T53" s="20">
        <v>2</v>
      </c>
      <c r="U53" s="21">
        <v>145.5</v>
      </c>
      <c r="V53" s="21">
        <v>32</v>
      </c>
      <c r="W53" s="21">
        <v>68.210599999999999</v>
      </c>
      <c r="X53" s="21">
        <v>66.438999999999993</v>
      </c>
      <c r="Y53" s="22">
        <v>38.201599999999999</v>
      </c>
      <c r="Z53" s="21">
        <v>1.206</v>
      </c>
      <c r="AA53" s="44">
        <f t="shared" si="5"/>
        <v>1206</v>
      </c>
      <c r="AB53" s="21">
        <v>6.7</v>
      </c>
      <c r="AC53" s="21">
        <v>149</v>
      </c>
      <c r="AD53" s="21">
        <v>47.4</v>
      </c>
      <c r="AE53" s="5">
        <f>AC53*AD53/405</f>
        <v>17.438518518518517</v>
      </c>
      <c r="AF53" s="39"/>
      <c r="AG53" s="39">
        <v>46.5</v>
      </c>
      <c r="AH53" s="39">
        <v>27.808</v>
      </c>
      <c r="AI53" s="51">
        <v>0.59799999999999998</v>
      </c>
      <c r="AJ53" s="53">
        <v>48.3</v>
      </c>
      <c r="AK53" s="63">
        <v>519.69999999999993</v>
      </c>
      <c r="AL53" s="63">
        <v>44.984999999999999</v>
      </c>
      <c r="AM53" s="63">
        <v>913</v>
      </c>
    </row>
    <row r="54" spans="1:39" x14ac:dyDescent="0.3">
      <c r="A54" s="19" t="s">
        <v>15</v>
      </c>
      <c r="B54" s="27" t="str">
        <f t="shared" si="4"/>
        <v>bom</v>
      </c>
      <c r="C54" s="59">
        <v>3</v>
      </c>
      <c r="D54" s="27">
        <v>0</v>
      </c>
      <c r="E54" s="67">
        <v>78</v>
      </c>
      <c r="F54" s="27">
        <v>1</v>
      </c>
      <c r="G54" s="27">
        <v>1</v>
      </c>
      <c r="H54" s="27">
        <v>0</v>
      </c>
      <c r="I54" s="27">
        <v>0</v>
      </c>
      <c r="J54" s="27">
        <v>0</v>
      </c>
      <c r="K54" s="27">
        <v>1</v>
      </c>
      <c r="L54" s="27">
        <v>1</v>
      </c>
      <c r="M54" s="27">
        <v>1</v>
      </c>
      <c r="N54" s="27">
        <v>0</v>
      </c>
      <c r="O54" s="27">
        <v>0</v>
      </c>
      <c r="P54" s="27">
        <v>0</v>
      </c>
      <c r="Q54" s="39"/>
      <c r="R54" s="39"/>
      <c r="S54" s="20">
        <v>5</v>
      </c>
      <c r="T54" s="20">
        <v>1</v>
      </c>
      <c r="U54" s="3">
        <v>110.9</v>
      </c>
      <c r="V54" s="3">
        <v>16</v>
      </c>
      <c r="W54" s="29">
        <v>34.456000000000003</v>
      </c>
      <c r="X54" s="29">
        <v>44.47</v>
      </c>
      <c r="Y54" s="29">
        <v>23.356000000000002</v>
      </c>
      <c r="Z54" s="3">
        <v>1.274</v>
      </c>
      <c r="AA54" s="44">
        <f t="shared" si="5"/>
        <v>1274</v>
      </c>
      <c r="AB54" s="3">
        <v>5.9</v>
      </c>
      <c r="AC54" s="3">
        <v>107</v>
      </c>
      <c r="AD54" s="3">
        <v>8.6999999999999993</v>
      </c>
      <c r="AE54" s="5">
        <f>AC54*AD54/405</f>
        <v>2.2985185185185184</v>
      </c>
      <c r="AF54" s="39">
        <v>-0.3</v>
      </c>
      <c r="AG54" s="39">
        <v>36.1</v>
      </c>
      <c r="AH54" s="39">
        <v>13.701000000000001</v>
      </c>
      <c r="AI54" s="51">
        <v>0.38</v>
      </c>
      <c r="AJ54" s="53">
        <v>55.2</v>
      </c>
      <c r="AK54" s="63">
        <v>263.30985591550188</v>
      </c>
      <c r="AL54" s="63">
        <v>29.91</v>
      </c>
      <c r="AM54" s="63">
        <v>763.5</v>
      </c>
    </row>
    <row r="55" spans="1:39" x14ac:dyDescent="0.3">
      <c r="A55" s="19" t="s">
        <v>86</v>
      </c>
      <c r="B55" s="56" t="str">
        <f t="shared" si="4"/>
        <v>ruim</v>
      </c>
      <c r="C55" s="59">
        <v>8</v>
      </c>
      <c r="D55" s="27">
        <v>0</v>
      </c>
      <c r="E55" s="67">
        <v>70</v>
      </c>
      <c r="F55" s="56">
        <v>1</v>
      </c>
      <c r="G55" s="56">
        <v>1</v>
      </c>
      <c r="H55" s="56">
        <v>0</v>
      </c>
      <c r="I55" s="56">
        <v>1</v>
      </c>
      <c r="J55" s="56">
        <v>1</v>
      </c>
      <c r="K55" s="56">
        <v>0</v>
      </c>
      <c r="L55" s="56">
        <v>1</v>
      </c>
      <c r="M55" s="56">
        <v>1</v>
      </c>
      <c r="N55" s="56">
        <v>1</v>
      </c>
      <c r="O55" s="56">
        <v>1</v>
      </c>
      <c r="P55" s="56">
        <v>0</v>
      </c>
      <c r="Q55" s="3">
        <v>45</v>
      </c>
      <c r="R55" s="3">
        <v>57</v>
      </c>
      <c r="S55" s="20">
        <v>10</v>
      </c>
      <c r="T55" s="20">
        <v>2</v>
      </c>
      <c r="U55" s="3">
        <v>109.7</v>
      </c>
      <c r="V55" s="3">
        <v>19</v>
      </c>
      <c r="W55" s="29">
        <v>39.972999999999999</v>
      </c>
      <c r="X55" s="29">
        <v>40.120199999999997</v>
      </c>
      <c r="Y55" s="29">
        <v>21.389299999999999</v>
      </c>
      <c r="Z55" s="3">
        <v>1.258</v>
      </c>
      <c r="AA55" s="44">
        <f t="shared" si="5"/>
        <v>1258</v>
      </c>
      <c r="AB55" s="3">
        <v>5.7</v>
      </c>
      <c r="AC55" s="3">
        <v>99</v>
      </c>
      <c r="AD55" s="32"/>
      <c r="AE55" s="5"/>
      <c r="AF55" s="39">
        <v>-3.2</v>
      </c>
      <c r="AG55" s="39">
        <v>35</v>
      </c>
      <c r="AH55" s="39">
        <v>16.413</v>
      </c>
      <c r="AI55" s="51">
        <v>0.46899999999999997</v>
      </c>
      <c r="AJ55" s="53">
        <v>48.9</v>
      </c>
      <c r="AK55" s="63">
        <v>415.65955757039058</v>
      </c>
      <c r="AL55" s="63">
        <v>49.913319053628612</v>
      </c>
      <c r="AM55" s="63">
        <v>646</v>
      </c>
    </row>
    <row r="56" spans="1:39" x14ac:dyDescent="0.3">
      <c r="A56" s="19" t="s">
        <v>62</v>
      </c>
      <c r="B56" s="27"/>
      <c r="C56" s="59"/>
      <c r="D56" s="56">
        <v>0</v>
      </c>
      <c r="E56" s="68">
        <v>65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39"/>
      <c r="R56" s="39"/>
      <c r="S56" s="20"/>
      <c r="T56" s="20"/>
      <c r="U56" s="21">
        <v>102.1</v>
      </c>
      <c r="V56" s="21">
        <v>16</v>
      </c>
      <c r="W56" s="22">
        <v>36.6691</v>
      </c>
      <c r="X56" s="22">
        <v>38.488799999999998</v>
      </c>
      <c r="Y56" s="22">
        <v>20.002400000000002</v>
      </c>
      <c r="Z56" s="21">
        <v>0.99</v>
      </c>
      <c r="AA56" s="44">
        <f>Z56*1000</f>
        <v>990</v>
      </c>
      <c r="AB56" s="21">
        <v>5.4</v>
      </c>
      <c r="AC56" s="21">
        <v>90</v>
      </c>
      <c r="AD56" s="30"/>
      <c r="AE56" s="5"/>
      <c r="AF56" s="39"/>
      <c r="AG56" s="39">
        <v>31.09</v>
      </c>
      <c r="AH56" s="39">
        <v>15.648</v>
      </c>
      <c r="AI56" s="52">
        <v>0.503</v>
      </c>
      <c r="AJ56" s="54">
        <v>50</v>
      </c>
      <c r="AK56" s="63">
        <v>303.59919165314318</v>
      </c>
      <c r="AL56" s="63">
        <v>36.820000000000007</v>
      </c>
      <c r="AM56" s="63">
        <v>512</v>
      </c>
    </row>
    <row r="57" spans="1:39" x14ac:dyDescent="0.3">
      <c r="A57" s="19" t="s">
        <v>87</v>
      </c>
      <c r="B57" s="27" t="str">
        <f t="shared" si="4"/>
        <v>ruim</v>
      </c>
      <c r="C57" s="59">
        <v>7</v>
      </c>
      <c r="D57" s="56">
        <v>0</v>
      </c>
      <c r="E57" s="66">
        <v>70</v>
      </c>
      <c r="F57" s="27">
        <v>0</v>
      </c>
      <c r="G57" s="27">
        <v>1</v>
      </c>
      <c r="H57" s="27">
        <v>1</v>
      </c>
      <c r="I57" s="27">
        <v>1</v>
      </c>
      <c r="J57" s="27">
        <v>1</v>
      </c>
      <c r="K57" s="27">
        <v>1</v>
      </c>
      <c r="L57" s="27">
        <v>1</v>
      </c>
      <c r="M57" s="27">
        <v>0</v>
      </c>
      <c r="N57" s="27">
        <v>1</v>
      </c>
      <c r="O57" s="27">
        <v>1</v>
      </c>
      <c r="P57" s="27">
        <v>1</v>
      </c>
      <c r="Q57" s="3">
        <v>34</v>
      </c>
      <c r="R57" s="3">
        <v>48</v>
      </c>
      <c r="S57" s="20">
        <v>15</v>
      </c>
      <c r="T57" s="20">
        <v>13</v>
      </c>
      <c r="U57" s="24">
        <v>107.1</v>
      </c>
      <c r="V57" s="24">
        <v>20</v>
      </c>
      <c r="W57" s="25">
        <v>39.618000000000002</v>
      </c>
      <c r="X57" s="25">
        <v>35.112000000000002</v>
      </c>
      <c r="Y57" s="25">
        <v>18.413</v>
      </c>
      <c r="Z57" s="24">
        <v>0.88500000000000001</v>
      </c>
      <c r="AA57" s="44">
        <f t="shared" si="5"/>
        <v>885</v>
      </c>
      <c r="AB57" s="26">
        <v>8.5</v>
      </c>
      <c r="AC57" s="26">
        <v>187</v>
      </c>
      <c r="AD57" s="26">
        <v>24.7</v>
      </c>
      <c r="AE57" s="5">
        <f t="shared" ref="AE57:AE70" si="6">AC57*AD57/405</f>
        <v>11.40469135802469</v>
      </c>
      <c r="AF57" s="39">
        <v>-9.1</v>
      </c>
      <c r="AG57" s="39">
        <v>33.4</v>
      </c>
      <c r="AH57" s="39">
        <v>15.423999999999999</v>
      </c>
      <c r="AI57" s="51">
        <v>0.43</v>
      </c>
      <c r="AJ57" s="53">
        <v>45.9</v>
      </c>
      <c r="AK57" s="63">
        <v>202.45735571744029</v>
      </c>
      <c r="AL57" s="63">
        <v>21.92</v>
      </c>
      <c r="AM57" s="63">
        <v>1279</v>
      </c>
    </row>
    <row r="58" spans="1:39" x14ac:dyDescent="0.3">
      <c r="A58" s="19" t="s">
        <v>56</v>
      </c>
      <c r="B58" s="56" t="str">
        <f t="shared" si="4"/>
        <v>bom</v>
      </c>
      <c r="C58" s="59">
        <v>5</v>
      </c>
      <c r="D58" s="27">
        <v>0</v>
      </c>
      <c r="E58" s="67">
        <v>76</v>
      </c>
      <c r="F58" s="56">
        <v>0</v>
      </c>
      <c r="G58" s="56">
        <v>0</v>
      </c>
      <c r="H58" s="56">
        <v>0</v>
      </c>
      <c r="I58" s="56">
        <v>0</v>
      </c>
      <c r="J58" s="56">
        <v>0</v>
      </c>
      <c r="K58" s="56">
        <v>1</v>
      </c>
      <c r="L58" s="56">
        <v>0</v>
      </c>
      <c r="M58" s="56">
        <v>0</v>
      </c>
      <c r="N58" s="56">
        <v>0</v>
      </c>
      <c r="O58" s="56">
        <v>1</v>
      </c>
      <c r="P58" s="56">
        <v>0</v>
      </c>
      <c r="Q58" s="3">
        <v>43</v>
      </c>
      <c r="R58" s="3">
        <v>74</v>
      </c>
      <c r="S58" s="20">
        <v>6</v>
      </c>
      <c r="T58" s="20">
        <v>4</v>
      </c>
      <c r="U58" s="3">
        <v>94</v>
      </c>
      <c r="V58" s="3">
        <v>16</v>
      </c>
      <c r="W58" s="29">
        <v>31.317499999999999</v>
      </c>
      <c r="X58" s="29">
        <v>30.998699999999999</v>
      </c>
      <c r="Y58" s="29">
        <v>13.5275</v>
      </c>
      <c r="Z58" s="3">
        <v>0.68</v>
      </c>
      <c r="AA58" s="44">
        <f t="shared" si="5"/>
        <v>680</v>
      </c>
      <c r="AB58" s="3">
        <v>5.6</v>
      </c>
      <c r="AC58" s="3">
        <v>89</v>
      </c>
      <c r="AD58" s="3">
        <v>4</v>
      </c>
      <c r="AE58" s="5">
        <f t="shared" si="6"/>
        <v>0.87901234567901232</v>
      </c>
      <c r="AF58" s="39">
        <v>-10.4</v>
      </c>
      <c r="AG58" s="39">
        <v>31.01</v>
      </c>
      <c r="AH58" s="39">
        <v>12.494999999999999</v>
      </c>
      <c r="AI58" s="51">
        <v>0.40300000000000002</v>
      </c>
      <c r="AJ58" s="53">
        <v>48.4</v>
      </c>
      <c r="AK58" s="63">
        <v>89.5</v>
      </c>
      <c r="AL58" s="63">
        <v>21.76</v>
      </c>
      <c r="AM58" s="63">
        <v>617.5</v>
      </c>
    </row>
    <row r="59" spans="1:39" ht="28.8" x14ac:dyDescent="0.3">
      <c r="A59" s="19" t="s">
        <v>88</v>
      </c>
      <c r="B59" s="27"/>
      <c r="C59" s="59"/>
      <c r="D59" s="27">
        <v>0</v>
      </c>
      <c r="E59" s="67">
        <v>78</v>
      </c>
      <c r="F59" s="27">
        <v>0</v>
      </c>
      <c r="G59" s="27">
        <v>1</v>
      </c>
      <c r="H59" s="27">
        <v>0</v>
      </c>
      <c r="I59" s="27">
        <v>0</v>
      </c>
      <c r="J59" s="27">
        <v>0</v>
      </c>
      <c r="K59" s="27">
        <v>0</v>
      </c>
      <c r="L59" s="27">
        <v>1</v>
      </c>
      <c r="M59" s="27">
        <v>0</v>
      </c>
      <c r="N59" s="27">
        <v>0</v>
      </c>
      <c r="O59" s="27">
        <v>0</v>
      </c>
      <c r="P59" s="27">
        <v>0</v>
      </c>
      <c r="Q59" s="3">
        <v>80</v>
      </c>
      <c r="R59" s="3">
        <v>78</v>
      </c>
      <c r="S59" s="20">
        <v>2</v>
      </c>
      <c r="T59" s="20">
        <v>4</v>
      </c>
      <c r="U59" s="3">
        <v>99</v>
      </c>
      <c r="V59" s="3">
        <v>18</v>
      </c>
      <c r="W59" s="29">
        <v>35.982999999999997</v>
      </c>
      <c r="X59" s="29">
        <v>32.148800000000001</v>
      </c>
      <c r="Y59" s="29">
        <v>15.5296</v>
      </c>
      <c r="Z59" s="3">
        <v>0.75</v>
      </c>
      <c r="AA59" s="44">
        <f t="shared" si="5"/>
        <v>750</v>
      </c>
      <c r="AB59" s="3">
        <v>5.8</v>
      </c>
      <c r="AC59" s="3">
        <v>98</v>
      </c>
      <c r="AD59" s="3">
        <v>7</v>
      </c>
      <c r="AE59" s="5">
        <f t="shared" si="6"/>
        <v>1.6938271604938271</v>
      </c>
      <c r="AF59" s="39">
        <v>-1</v>
      </c>
      <c r="AG59" s="39">
        <v>31.42</v>
      </c>
      <c r="AH59" s="39">
        <v>14.932</v>
      </c>
      <c r="AI59" s="51">
        <v>0.47499999999999998</v>
      </c>
      <c r="AJ59" s="53">
        <v>45.7</v>
      </c>
      <c r="AK59" s="63">
        <v>177.40050270401969</v>
      </c>
      <c r="AL59" s="63">
        <v>33.894999999999989</v>
      </c>
      <c r="AM59" s="63">
        <v>475.5</v>
      </c>
    </row>
    <row r="60" spans="1:39" ht="28.8" x14ac:dyDescent="0.3">
      <c r="A60" s="19" t="s">
        <v>16</v>
      </c>
      <c r="B60" s="27" t="str">
        <f t="shared" ref="B60:B72" si="7">IF(C60&gt;5,"ruim","bom")</f>
        <v>bom</v>
      </c>
      <c r="C60" s="59">
        <v>4</v>
      </c>
      <c r="D60" s="56">
        <v>0</v>
      </c>
      <c r="E60" s="66">
        <v>86</v>
      </c>
      <c r="F60" s="27">
        <v>0</v>
      </c>
      <c r="G60" s="27">
        <v>1</v>
      </c>
      <c r="H60" s="27">
        <v>0</v>
      </c>
      <c r="I60" s="27">
        <v>1</v>
      </c>
      <c r="J60" s="27">
        <v>1</v>
      </c>
      <c r="K60" s="27">
        <v>0</v>
      </c>
      <c r="L60" s="27">
        <v>1</v>
      </c>
      <c r="M60" s="27">
        <v>0</v>
      </c>
      <c r="N60" s="27">
        <v>1</v>
      </c>
      <c r="O60" s="27">
        <v>0</v>
      </c>
      <c r="P60" s="27">
        <v>0</v>
      </c>
      <c r="Q60" s="3">
        <v>75</v>
      </c>
      <c r="R60" s="3">
        <v>77</v>
      </c>
      <c r="S60" s="20">
        <v>5</v>
      </c>
      <c r="T60" s="20">
        <v>4</v>
      </c>
      <c r="U60" s="24">
        <v>104.3</v>
      </c>
      <c r="V60" s="24">
        <v>22</v>
      </c>
      <c r="W60" s="25">
        <v>38.366</v>
      </c>
      <c r="X60" s="25">
        <v>40.869999999999997</v>
      </c>
      <c r="Y60" s="25">
        <v>18.196000000000002</v>
      </c>
      <c r="Z60" s="24">
        <v>1.054</v>
      </c>
      <c r="AA60" s="44">
        <f t="shared" si="5"/>
        <v>1054</v>
      </c>
      <c r="AB60" s="26">
        <v>6.7</v>
      </c>
      <c r="AC60" s="26">
        <v>136</v>
      </c>
      <c r="AD60" s="26">
        <v>21.3</v>
      </c>
      <c r="AE60" s="5">
        <f t="shared" si="6"/>
        <v>7.1525925925925931</v>
      </c>
      <c r="AF60" s="39">
        <v>-1.5</v>
      </c>
      <c r="AG60" s="39">
        <v>37.4</v>
      </c>
      <c r="AH60" s="39">
        <v>17.329999999999998</v>
      </c>
      <c r="AI60" s="51">
        <v>0.46300000000000002</v>
      </c>
      <c r="AJ60" s="53">
        <v>50.4</v>
      </c>
      <c r="AK60" s="63">
        <v>801.41846062787249</v>
      </c>
      <c r="AL60" s="63">
        <v>65.685000000000016</v>
      </c>
      <c r="AM60" s="63">
        <v>1136.5</v>
      </c>
    </row>
    <row r="61" spans="1:39" ht="28.8" x14ac:dyDescent="0.3">
      <c r="A61" s="19" t="s">
        <v>89</v>
      </c>
      <c r="B61" s="56" t="str">
        <f t="shared" si="7"/>
        <v>ruim</v>
      </c>
      <c r="C61" s="59">
        <v>9</v>
      </c>
      <c r="D61" s="27">
        <v>0</v>
      </c>
      <c r="E61" s="67">
        <v>76</v>
      </c>
      <c r="F61" s="56">
        <v>1</v>
      </c>
      <c r="G61" s="56">
        <v>1</v>
      </c>
      <c r="H61" s="56">
        <v>1</v>
      </c>
      <c r="I61" s="56">
        <v>1</v>
      </c>
      <c r="J61" s="56">
        <v>0</v>
      </c>
      <c r="K61" s="56">
        <v>0</v>
      </c>
      <c r="L61" s="56">
        <v>1</v>
      </c>
      <c r="M61" s="56">
        <v>1</v>
      </c>
      <c r="N61" s="56">
        <v>0</v>
      </c>
      <c r="O61" s="56">
        <v>0</v>
      </c>
      <c r="P61" s="56">
        <v>1</v>
      </c>
      <c r="Q61" s="3">
        <v>14</v>
      </c>
      <c r="R61" s="3">
        <v>53</v>
      </c>
      <c r="S61" s="20">
        <v>5</v>
      </c>
      <c r="T61" s="20">
        <v>5</v>
      </c>
      <c r="U61" s="3">
        <v>128</v>
      </c>
      <c r="V61" s="3">
        <v>16</v>
      </c>
      <c r="W61" s="29">
        <v>52.457099999999997</v>
      </c>
      <c r="X61" s="29">
        <v>48.581000000000003</v>
      </c>
      <c r="Y61" s="29">
        <v>29.408799999999999</v>
      </c>
      <c r="Z61" s="3">
        <v>1.645</v>
      </c>
      <c r="AA61" s="44">
        <f t="shared" si="5"/>
        <v>1645</v>
      </c>
      <c r="AB61" s="3">
        <v>5.8</v>
      </c>
      <c r="AC61" s="3">
        <v>110</v>
      </c>
      <c r="AD61" s="3">
        <v>20</v>
      </c>
      <c r="AE61" s="5">
        <f t="shared" si="6"/>
        <v>5.4320987654320989</v>
      </c>
      <c r="AF61" s="39">
        <v>-9.3000000000000007</v>
      </c>
      <c r="AG61" s="39">
        <v>39.840000000000003</v>
      </c>
      <c r="AH61" s="39">
        <v>20.745000000000001</v>
      </c>
      <c r="AI61" s="51">
        <v>0.52100000000000002</v>
      </c>
      <c r="AJ61" s="53">
        <v>47</v>
      </c>
      <c r="AK61" s="63">
        <v>425.5</v>
      </c>
      <c r="AL61" s="63">
        <v>30.449999999999982</v>
      </c>
      <c r="AM61" s="63">
        <v>761.5</v>
      </c>
    </row>
    <row r="62" spans="1:39" x14ac:dyDescent="0.3">
      <c r="A62" s="19" t="s">
        <v>17</v>
      </c>
      <c r="B62" s="27" t="str">
        <f t="shared" si="7"/>
        <v>ruim</v>
      </c>
      <c r="C62" s="59">
        <v>7</v>
      </c>
      <c r="D62" s="27">
        <v>0</v>
      </c>
      <c r="E62" s="67">
        <v>65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1</v>
      </c>
      <c r="L62" s="27">
        <v>0</v>
      </c>
      <c r="M62" s="27">
        <v>0</v>
      </c>
      <c r="N62" s="27">
        <v>0</v>
      </c>
      <c r="O62" s="27">
        <v>1</v>
      </c>
      <c r="P62" s="27">
        <v>0</v>
      </c>
      <c r="Q62" s="3">
        <v>73</v>
      </c>
      <c r="R62" s="3">
        <v>81</v>
      </c>
      <c r="S62" s="20">
        <v>0</v>
      </c>
      <c r="T62" s="20">
        <v>3</v>
      </c>
      <c r="U62" s="3">
        <v>112</v>
      </c>
      <c r="V62" s="3">
        <v>22</v>
      </c>
      <c r="W62" s="29">
        <v>39.473999999999997</v>
      </c>
      <c r="X62" s="29">
        <v>42.535899999999998</v>
      </c>
      <c r="Y62" s="29">
        <v>21.549099999999999</v>
      </c>
      <c r="Z62" s="3">
        <v>1.1619999999999999</v>
      </c>
      <c r="AA62" s="44">
        <f t="shared" si="5"/>
        <v>1162</v>
      </c>
      <c r="AB62" s="3">
        <v>5.6</v>
      </c>
      <c r="AC62" s="3">
        <v>104</v>
      </c>
      <c r="AD62" s="3">
        <v>20.399999999999999</v>
      </c>
      <c r="AE62" s="5">
        <f t="shared" si="6"/>
        <v>5.2385185185185179</v>
      </c>
      <c r="AF62" s="39">
        <v>-0.4</v>
      </c>
      <c r="AG62" s="39">
        <v>39.799999999999997</v>
      </c>
      <c r="AH62" s="39">
        <v>17.27</v>
      </c>
      <c r="AI62" s="51">
        <v>0.434</v>
      </c>
      <c r="AJ62" s="53">
        <v>50.8</v>
      </c>
      <c r="AK62" s="63">
        <v>804.19999999999982</v>
      </c>
      <c r="AL62" s="63">
        <v>56.395000000000003</v>
      </c>
      <c r="AM62" s="63">
        <v>625</v>
      </c>
    </row>
    <row r="63" spans="1:39" x14ac:dyDescent="0.3">
      <c r="A63" s="19" t="s">
        <v>57</v>
      </c>
      <c r="B63" s="27" t="str">
        <f t="shared" si="7"/>
        <v>ruim</v>
      </c>
      <c r="C63" s="59">
        <v>10</v>
      </c>
      <c r="D63" s="56">
        <v>0</v>
      </c>
      <c r="E63" s="67">
        <v>65</v>
      </c>
      <c r="F63" s="27">
        <v>0</v>
      </c>
      <c r="G63" s="27">
        <v>1</v>
      </c>
      <c r="H63" s="27">
        <v>1</v>
      </c>
      <c r="I63" s="27">
        <v>1</v>
      </c>
      <c r="J63" s="27">
        <v>0</v>
      </c>
      <c r="K63" s="27">
        <v>0</v>
      </c>
      <c r="L63" s="27">
        <v>1</v>
      </c>
      <c r="M63" s="27">
        <v>0</v>
      </c>
      <c r="N63" s="27">
        <v>0</v>
      </c>
      <c r="O63" s="27">
        <v>0</v>
      </c>
      <c r="P63" s="27">
        <v>1</v>
      </c>
      <c r="Q63" s="3">
        <v>26</v>
      </c>
      <c r="R63" s="3">
        <v>25</v>
      </c>
      <c r="S63" s="20">
        <v>17</v>
      </c>
      <c r="T63" s="20">
        <v>10</v>
      </c>
      <c r="U63" s="3">
        <v>114.5</v>
      </c>
      <c r="V63" s="3">
        <v>14</v>
      </c>
      <c r="W63" s="29">
        <v>41.213299999999997</v>
      </c>
      <c r="X63" s="29">
        <v>47.385899999999999</v>
      </c>
      <c r="Y63" s="29">
        <v>24.3658</v>
      </c>
      <c r="Z63" s="3">
        <v>1.367</v>
      </c>
      <c r="AA63" s="44">
        <f t="shared" si="5"/>
        <v>1367</v>
      </c>
      <c r="AB63" s="3">
        <v>5.2</v>
      </c>
      <c r="AC63" s="3">
        <v>96</v>
      </c>
      <c r="AD63" s="3">
        <v>12</v>
      </c>
      <c r="AE63" s="5">
        <f t="shared" si="6"/>
        <v>2.8444444444444446</v>
      </c>
      <c r="AF63" s="39">
        <v>-7.7</v>
      </c>
      <c r="AG63" s="39">
        <v>37.69</v>
      </c>
      <c r="AH63" s="39">
        <v>17.402000000000001</v>
      </c>
      <c r="AI63" s="51">
        <v>0.46200000000000002</v>
      </c>
      <c r="AJ63" s="53">
        <v>52.4</v>
      </c>
      <c r="AK63" s="63">
        <v>283.5</v>
      </c>
      <c r="AL63" s="63">
        <v>43.77500000000002</v>
      </c>
      <c r="AM63" s="63">
        <v>624.5</v>
      </c>
    </row>
    <row r="64" spans="1:39" x14ac:dyDescent="0.3">
      <c r="A64" s="19" t="s">
        <v>18</v>
      </c>
      <c r="B64" s="56" t="str">
        <f t="shared" si="7"/>
        <v>bom</v>
      </c>
      <c r="C64" s="59">
        <v>4</v>
      </c>
      <c r="D64" s="56">
        <v>0</v>
      </c>
      <c r="E64" s="67">
        <v>68</v>
      </c>
      <c r="F64" s="56">
        <v>0</v>
      </c>
      <c r="G64" s="56">
        <v>0</v>
      </c>
      <c r="H64" s="56">
        <v>0</v>
      </c>
      <c r="I64" s="56">
        <v>0</v>
      </c>
      <c r="J64" s="56">
        <v>0</v>
      </c>
      <c r="K64" s="56">
        <v>1</v>
      </c>
      <c r="L64" s="56">
        <v>0</v>
      </c>
      <c r="M64" s="56">
        <v>0</v>
      </c>
      <c r="N64" s="56">
        <v>0</v>
      </c>
      <c r="O64" s="56">
        <v>0</v>
      </c>
      <c r="P64" s="56">
        <v>0</v>
      </c>
      <c r="Q64" s="3">
        <v>57</v>
      </c>
      <c r="R64" s="3">
        <v>58</v>
      </c>
      <c r="S64" s="20">
        <v>13</v>
      </c>
      <c r="T64" s="20">
        <v>3</v>
      </c>
      <c r="U64" s="3">
        <v>92.5</v>
      </c>
      <c r="V64" s="5">
        <v>16</v>
      </c>
      <c r="W64" s="29">
        <v>31.432300000000001</v>
      </c>
      <c r="X64" s="29">
        <v>36.496000000000002</v>
      </c>
      <c r="Y64" s="29">
        <v>17.233000000000001</v>
      </c>
      <c r="Z64" s="3">
        <v>0.63800000000000001</v>
      </c>
      <c r="AA64" s="44">
        <f t="shared" si="5"/>
        <v>638</v>
      </c>
      <c r="AB64" s="3">
        <v>5.2</v>
      </c>
      <c r="AC64" s="3">
        <v>83</v>
      </c>
      <c r="AD64" s="3">
        <v>10.199999999999999</v>
      </c>
      <c r="AE64" s="5">
        <f t="shared" si="6"/>
        <v>2.09037037037037</v>
      </c>
      <c r="AF64" s="39">
        <v>-3.8</v>
      </c>
      <c r="AG64" s="39">
        <v>32.299999999999997</v>
      </c>
      <c r="AH64" s="39">
        <v>13.007999999999999</v>
      </c>
      <c r="AI64" s="51">
        <v>0.40300000000000002</v>
      </c>
      <c r="AJ64" s="53">
        <v>51.6</v>
      </c>
      <c r="AK64" s="63">
        <v>300.2</v>
      </c>
      <c r="AL64" s="63">
        <v>35.39</v>
      </c>
      <c r="AM64" s="63">
        <v>397</v>
      </c>
    </row>
    <row r="65" spans="1:39" x14ac:dyDescent="0.3">
      <c r="A65" s="19" t="s">
        <v>58</v>
      </c>
      <c r="B65" s="27" t="str">
        <f t="shared" si="7"/>
        <v>ruim</v>
      </c>
      <c r="C65" s="59">
        <v>6</v>
      </c>
      <c r="D65" s="27">
        <v>0</v>
      </c>
      <c r="E65" s="66">
        <v>69</v>
      </c>
      <c r="F65" s="27">
        <v>0</v>
      </c>
      <c r="G65" s="27">
        <v>1</v>
      </c>
      <c r="H65" s="27">
        <v>0</v>
      </c>
      <c r="I65" s="27">
        <v>0</v>
      </c>
      <c r="J65" s="27">
        <v>0</v>
      </c>
      <c r="K65" s="27">
        <v>0</v>
      </c>
      <c r="L65" s="27">
        <v>1</v>
      </c>
      <c r="M65" s="27">
        <v>0</v>
      </c>
      <c r="N65" s="27">
        <v>0</v>
      </c>
      <c r="O65" s="27">
        <v>0</v>
      </c>
      <c r="P65" s="27">
        <v>0</v>
      </c>
      <c r="Q65" s="3">
        <v>82</v>
      </c>
      <c r="R65" s="3">
        <v>80</v>
      </c>
      <c r="S65" s="20">
        <v>6</v>
      </c>
      <c r="T65" s="20">
        <v>2</v>
      </c>
      <c r="U65" s="27">
        <v>110.9</v>
      </c>
      <c r="V65" s="24">
        <v>19</v>
      </c>
      <c r="W65" s="28">
        <v>40.853999999999999</v>
      </c>
      <c r="X65" s="28">
        <v>49.122999999999998</v>
      </c>
      <c r="Y65" s="28">
        <v>23.591999999999999</v>
      </c>
      <c r="Z65" s="27">
        <v>0.88300000000000001</v>
      </c>
      <c r="AA65" s="44">
        <f t="shared" si="5"/>
        <v>883</v>
      </c>
      <c r="AB65" s="3">
        <v>5.0999999999999996</v>
      </c>
      <c r="AC65" s="3">
        <v>86</v>
      </c>
      <c r="AD65" s="3">
        <v>11.3</v>
      </c>
      <c r="AE65" s="5">
        <f t="shared" si="6"/>
        <v>2.3995061728395064</v>
      </c>
      <c r="AF65" s="39">
        <v>-1.2</v>
      </c>
      <c r="AG65" s="39">
        <v>35.299999999999997</v>
      </c>
      <c r="AH65" s="39">
        <v>17.736000000000001</v>
      </c>
      <c r="AI65" s="51">
        <v>0.502</v>
      </c>
      <c r="AJ65" s="53">
        <v>53.1</v>
      </c>
    </row>
    <row r="66" spans="1:39" x14ac:dyDescent="0.3">
      <c r="A66" s="19" t="s">
        <v>19</v>
      </c>
      <c r="B66" s="27" t="str">
        <f t="shared" si="7"/>
        <v>ruim</v>
      </c>
      <c r="C66" s="59">
        <v>9</v>
      </c>
      <c r="D66" s="27">
        <v>0</v>
      </c>
      <c r="E66" s="67">
        <v>72</v>
      </c>
      <c r="F66" s="27">
        <v>0</v>
      </c>
      <c r="G66" s="27">
        <v>0</v>
      </c>
      <c r="H66" s="27">
        <v>0</v>
      </c>
      <c r="I66" s="27">
        <v>1</v>
      </c>
      <c r="J66" s="27">
        <v>0</v>
      </c>
      <c r="K66" s="27">
        <v>1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3">
        <v>59</v>
      </c>
      <c r="R66" s="3">
        <v>80</v>
      </c>
      <c r="S66" s="20">
        <v>10</v>
      </c>
      <c r="T66" s="20">
        <v>3</v>
      </c>
      <c r="U66" s="3">
        <v>107.8</v>
      </c>
      <c r="V66" s="3">
        <v>17</v>
      </c>
      <c r="W66" s="29">
        <v>37.64</v>
      </c>
      <c r="X66" s="29">
        <v>38.984999999999999</v>
      </c>
      <c r="Y66" s="29">
        <v>18.135999999999999</v>
      </c>
      <c r="Z66" s="3">
        <v>0.88300000000000001</v>
      </c>
      <c r="AA66" s="44">
        <f t="shared" si="5"/>
        <v>883</v>
      </c>
      <c r="AB66" s="3">
        <v>6.5</v>
      </c>
      <c r="AC66" s="3">
        <v>123</v>
      </c>
      <c r="AD66" s="3">
        <v>8.1999999999999993</v>
      </c>
      <c r="AE66" s="5">
        <f t="shared" si="6"/>
        <v>2.4903703703703703</v>
      </c>
      <c r="AF66" s="39">
        <v>1.4</v>
      </c>
      <c r="AG66" s="39">
        <v>33.299999999999997</v>
      </c>
      <c r="AH66" s="39">
        <v>16.02</v>
      </c>
      <c r="AI66" s="51">
        <v>0.48099999999999998</v>
      </c>
      <c r="AJ66" s="53">
        <v>49.8</v>
      </c>
      <c r="AK66" s="63">
        <v>190.856207699403</v>
      </c>
      <c r="AL66" s="63">
        <v>31.58093281549532</v>
      </c>
      <c r="AM66" s="63">
        <v>882.5</v>
      </c>
    </row>
    <row r="67" spans="1:39" x14ac:dyDescent="0.3">
      <c r="A67" s="19" t="s">
        <v>20</v>
      </c>
      <c r="B67" s="56" t="str">
        <f t="shared" si="7"/>
        <v>bom</v>
      </c>
      <c r="C67" s="59">
        <v>3</v>
      </c>
      <c r="D67" s="56">
        <v>0</v>
      </c>
      <c r="E67" s="67">
        <v>65</v>
      </c>
      <c r="F67" s="56">
        <v>0</v>
      </c>
      <c r="G67" s="56">
        <v>1</v>
      </c>
      <c r="H67" s="56">
        <v>0</v>
      </c>
      <c r="I67" s="56">
        <v>1</v>
      </c>
      <c r="J67" s="56">
        <v>0</v>
      </c>
      <c r="K67" s="56">
        <v>0</v>
      </c>
      <c r="L67" s="56">
        <v>1</v>
      </c>
      <c r="M67" s="56">
        <v>0</v>
      </c>
      <c r="N67" s="56">
        <v>0</v>
      </c>
      <c r="O67" s="56">
        <v>0</v>
      </c>
      <c r="P67" s="56">
        <v>0</v>
      </c>
      <c r="Q67" s="3">
        <v>72</v>
      </c>
      <c r="R67" s="3">
        <v>95</v>
      </c>
      <c r="S67" s="20">
        <v>8</v>
      </c>
      <c r="T67" s="20">
        <v>3</v>
      </c>
      <c r="U67" s="3">
        <v>102</v>
      </c>
      <c r="V67" s="3">
        <v>17</v>
      </c>
      <c r="W67" s="29">
        <v>38.719000000000001</v>
      </c>
      <c r="X67" s="3">
        <v>34.546199999999999</v>
      </c>
      <c r="Y67" s="29">
        <v>17.341000000000001</v>
      </c>
      <c r="Z67" s="3">
        <v>0.85199999999999998</v>
      </c>
      <c r="AA67" s="44">
        <f t="shared" ref="AA67:AA97" si="8">Z67*1000</f>
        <v>852</v>
      </c>
      <c r="AB67" s="3">
        <v>4.9000000000000004</v>
      </c>
      <c r="AC67" s="3">
        <v>85</v>
      </c>
      <c r="AD67" s="3">
        <v>10.7</v>
      </c>
      <c r="AE67" s="5">
        <f t="shared" si="6"/>
        <v>2.2456790123456787</v>
      </c>
      <c r="AF67" s="39">
        <v>0.5</v>
      </c>
      <c r="AG67" s="39">
        <v>30.3</v>
      </c>
      <c r="AH67" s="39">
        <v>16.347999999999999</v>
      </c>
      <c r="AI67" s="51">
        <v>0.54</v>
      </c>
      <c r="AJ67" s="53">
        <v>45.7</v>
      </c>
      <c r="AK67" s="63">
        <v>750.85000000000014</v>
      </c>
      <c r="AL67" s="63">
        <v>54.395000000000003</v>
      </c>
      <c r="AM67" s="63">
        <v>446</v>
      </c>
    </row>
    <row r="68" spans="1:39" x14ac:dyDescent="0.3">
      <c r="A68" s="19" t="s">
        <v>90</v>
      </c>
      <c r="B68" s="27" t="str">
        <f t="shared" si="7"/>
        <v>ruim</v>
      </c>
      <c r="C68" s="59">
        <v>16</v>
      </c>
      <c r="D68" s="27">
        <v>0</v>
      </c>
      <c r="E68" s="66">
        <v>70</v>
      </c>
      <c r="F68" s="27">
        <v>1</v>
      </c>
      <c r="G68" s="27">
        <v>1</v>
      </c>
      <c r="H68" s="27">
        <v>1</v>
      </c>
      <c r="I68" s="27">
        <v>0</v>
      </c>
      <c r="J68" s="27">
        <v>1</v>
      </c>
      <c r="K68" s="27">
        <v>1</v>
      </c>
      <c r="L68" s="27">
        <v>1</v>
      </c>
      <c r="M68" s="27">
        <v>1</v>
      </c>
      <c r="N68" s="27">
        <v>1</v>
      </c>
      <c r="O68" s="27">
        <v>1</v>
      </c>
      <c r="P68" s="27">
        <v>1</v>
      </c>
      <c r="Q68" s="3">
        <v>8</v>
      </c>
      <c r="R68" s="3">
        <v>0</v>
      </c>
      <c r="S68" s="20">
        <v>20</v>
      </c>
      <c r="T68" s="20">
        <v>14</v>
      </c>
      <c r="U68" s="34">
        <v>110.7</v>
      </c>
      <c r="V68" s="34">
        <v>18</v>
      </c>
      <c r="W68" s="23"/>
      <c r="X68" s="35">
        <v>48.005099999999999</v>
      </c>
      <c r="Y68" s="35">
        <v>24.137699999999999</v>
      </c>
      <c r="Z68" s="34">
        <v>1.306</v>
      </c>
      <c r="AA68" s="44">
        <f t="shared" si="8"/>
        <v>1306</v>
      </c>
      <c r="AB68" s="21">
        <v>6.2</v>
      </c>
      <c r="AC68" s="21">
        <v>108</v>
      </c>
      <c r="AD68" s="21">
        <v>23.7</v>
      </c>
      <c r="AE68" s="5">
        <f t="shared" si="6"/>
        <v>6.3199999999999994</v>
      </c>
      <c r="AF68" s="39"/>
      <c r="AG68" s="39">
        <v>38.299999999999997</v>
      </c>
      <c r="AH68" s="39">
        <v>18.71</v>
      </c>
      <c r="AI68" s="51">
        <v>0.48799999999999999</v>
      </c>
      <c r="AJ68" s="53">
        <v>53</v>
      </c>
      <c r="AK68" s="63">
        <v>477.94669566152328</v>
      </c>
      <c r="AM68" s="63">
        <v>653.58546633537549</v>
      </c>
    </row>
    <row r="69" spans="1:39" x14ac:dyDescent="0.3">
      <c r="A69" s="19" t="s">
        <v>59</v>
      </c>
      <c r="B69" s="27" t="str">
        <f t="shared" si="7"/>
        <v>ruim</v>
      </c>
      <c r="C69" s="59">
        <v>9</v>
      </c>
      <c r="D69" s="27">
        <v>0</v>
      </c>
      <c r="E69" s="67">
        <v>78</v>
      </c>
      <c r="F69" s="27">
        <v>1</v>
      </c>
      <c r="G69" s="27">
        <v>1</v>
      </c>
      <c r="H69" s="27">
        <v>0</v>
      </c>
      <c r="I69" s="27">
        <v>0</v>
      </c>
      <c r="J69" s="27">
        <v>0</v>
      </c>
      <c r="K69" s="27">
        <v>0</v>
      </c>
      <c r="L69" s="27">
        <v>1</v>
      </c>
      <c r="M69" s="27">
        <v>1</v>
      </c>
      <c r="N69" s="27">
        <v>0</v>
      </c>
      <c r="O69" s="27">
        <v>0</v>
      </c>
      <c r="P69" s="27">
        <v>0</v>
      </c>
      <c r="Q69" s="3">
        <v>38</v>
      </c>
      <c r="R69" s="3">
        <v>63</v>
      </c>
      <c r="S69" s="20">
        <v>13</v>
      </c>
      <c r="T69" s="20">
        <v>9</v>
      </c>
      <c r="U69" s="3">
        <v>110</v>
      </c>
      <c r="V69" s="5">
        <v>16</v>
      </c>
      <c r="W69" s="29">
        <v>41.776000000000003</v>
      </c>
      <c r="X69" s="29">
        <v>40.131999999999998</v>
      </c>
      <c r="Y69" s="29">
        <v>18.305</v>
      </c>
      <c r="Z69" s="3">
        <v>1.056</v>
      </c>
      <c r="AA69" s="44">
        <f t="shared" si="8"/>
        <v>1056</v>
      </c>
      <c r="AB69" s="3">
        <v>8.1</v>
      </c>
      <c r="AC69" s="3">
        <v>127</v>
      </c>
      <c r="AD69" s="3">
        <v>7.5</v>
      </c>
      <c r="AE69" s="5">
        <f t="shared" si="6"/>
        <v>2.3518518518518516</v>
      </c>
      <c r="AF69" s="39">
        <v>-1</v>
      </c>
      <c r="AG69" s="39">
        <v>36.4</v>
      </c>
      <c r="AH69" s="39">
        <v>17.100000000000001</v>
      </c>
      <c r="AI69" s="51">
        <v>0.47</v>
      </c>
      <c r="AJ69" s="53">
        <v>47.7</v>
      </c>
      <c r="AK69" s="63">
        <v>72.75</v>
      </c>
      <c r="AL69" s="63">
        <v>12.895</v>
      </c>
      <c r="AM69" s="63">
        <v>1280</v>
      </c>
    </row>
    <row r="70" spans="1:39" x14ac:dyDescent="0.3">
      <c r="A70" s="19" t="s">
        <v>60</v>
      </c>
      <c r="B70" s="56" t="str">
        <f t="shared" si="7"/>
        <v>ruim</v>
      </c>
      <c r="C70" s="59">
        <v>9</v>
      </c>
      <c r="D70" s="56">
        <v>0</v>
      </c>
      <c r="E70" s="67">
        <v>74</v>
      </c>
      <c r="F70" s="56">
        <v>1</v>
      </c>
      <c r="G70" s="56">
        <v>1</v>
      </c>
      <c r="H70" s="56">
        <v>0</v>
      </c>
      <c r="I70" s="56">
        <v>0</v>
      </c>
      <c r="J70" s="56">
        <v>1</v>
      </c>
      <c r="K70" s="56">
        <v>1</v>
      </c>
      <c r="L70" s="56">
        <v>1</v>
      </c>
      <c r="M70" s="56">
        <v>1</v>
      </c>
      <c r="N70" s="56">
        <v>1</v>
      </c>
      <c r="O70" s="56">
        <v>0</v>
      </c>
      <c r="P70" s="56">
        <v>0</v>
      </c>
      <c r="Q70" s="3">
        <v>20</v>
      </c>
      <c r="R70" s="3">
        <v>31</v>
      </c>
      <c r="S70" s="20">
        <v>16</v>
      </c>
      <c r="T70" s="20">
        <v>8</v>
      </c>
      <c r="U70" s="3">
        <v>115</v>
      </c>
      <c r="V70" s="3">
        <v>16</v>
      </c>
      <c r="W70" s="29">
        <v>45.585999999999999</v>
      </c>
      <c r="X70" s="29">
        <v>48.887900000000002</v>
      </c>
      <c r="Y70" s="29">
        <v>25.6479</v>
      </c>
      <c r="Z70" s="3">
        <v>1.613</v>
      </c>
      <c r="AA70" s="44">
        <f t="shared" si="8"/>
        <v>1613</v>
      </c>
      <c r="AB70" s="3">
        <v>7.5</v>
      </c>
      <c r="AC70" s="3">
        <v>140</v>
      </c>
      <c r="AD70" s="3">
        <v>20</v>
      </c>
      <c r="AE70" s="5">
        <f t="shared" si="6"/>
        <v>6.9135802469135799</v>
      </c>
      <c r="AF70" s="39">
        <v>-10.1</v>
      </c>
      <c r="AG70" s="39">
        <v>41.1</v>
      </c>
      <c r="AH70" s="39">
        <v>19.940999999999999</v>
      </c>
      <c r="AI70" s="51">
        <v>0.48499999999999999</v>
      </c>
      <c r="AJ70" s="53">
        <v>50.7</v>
      </c>
      <c r="AK70" s="63">
        <v>193.23514349132159</v>
      </c>
      <c r="AL70" s="63">
        <v>26.58499999999999</v>
      </c>
      <c r="AM70" s="63">
        <v>864</v>
      </c>
    </row>
    <row r="71" spans="1:39" x14ac:dyDescent="0.3">
      <c r="A71" s="19" t="s">
        <v>61</v>
      </c>
      <c r="B71" s="27" t="str">
        <f t="shared" si="7"/>
        <v>ruim</v>
      </c>
      <c r="C71" s="59">
        <v>8</v>
      </c>
      <c r="D71" s="56">
        <v>0</v>
      </c>
      <c r="E71" s="66">
        <v>84</v>
      </c>
      <c r="F71" s="27">
        <v>1</v>
      </c>
      <c r="G71" s="27">
        <v>1</v>
      </c>
      <c r="H71" s="27">
        <v>0</v>
      </c>
      <c r="I71" s="27">
        <v>0</v>
      </c>
      <c r="J71" s="27">
        <v>1</v>
      </c>
      <c r="K71" s="27">
        <v>0</v>
      </c>
      <c r="L71" s="27">
        <v>1</v>
      </c>
      <c r="M71" s="27">
        <v>1</v>
      </c>
      <c r="N71" s="27">
        <v>1</v>
      </c>
      <c r="O71" s="27">
        <v>0</v>
      </c>
      <c r="P71" s="27">
        <v>0</v>
      </c>
      <c r="Q71" s="3">
        <v>3</v>
      </c>
      <c r="R71" s="3">
        <v>25</v>
      </c>
      <c r="S71" s="20">
        <v>6</v>
      </c>
      <c r="T71" s="20">
        <v>4</v>
      </c>
      <c r="U71" s="24">
        <v>116</v>
      </c>
      <c r="V71" s="24">
        <v>14</v>
      </c>
      <c r="W71" s="25">
        <v>38.67</v>
      </c>
      <c r="X71" s="25">
        <v>44.927300000000002</v>
      </c>
      <c r="Y71" s="25">
        <v>22.706299999999999</v>
      </c>
      <c r="Z71" s="24">
        <v>1.075</v>
      </c>
      <c r="AA71" s="44">
        <f t="shared" si="8"/>
        <v>1075</v>
      </c>
      <c r="AB71" s="26">
        <v>10.199999999999999</v>
      </c>
      <c r="AC71" s="26">
        <v>209</v>
      </c>
      <c r="AD71" s="32"/>
      <c r="AE71" s="5"/>
      <c r="AF71" s="39">
        <v>-2.7</v>
      </c>
      <c r="AG71" s="39">
        <v>42.4</v>
      </c>
      <c r="AH71" s="39">
        <v>14.794</v>
      </c>
      <c r="AI71" s="51">
        <v>0.34899999999999998</v>
      </c>
      <c r="AJ71" s="53">
        <v>52.7</v>
      </c>
    </row>
    <row r="72" spans="1:39" x14ac:dyDescent="0.3">
      <c r="A72" s="19" t="s">
        <v>21</v>
      </c>
      <c r="B72" s="27" t="str">
        <f t="shared" si="7"/>
        <v>bom</v>
      </c>
      <c r="C72" s="59">
        <v>4</v>
      </c>
      <c r="D72" s="27">
        <v>0</v>
      </c>
      <c r="E72" s="67">
        <v>68</v>
      </c>
      <c r="F72" s="27">
        <v>0</v>
      </c>
      <c r="G72" s="27">
        <v>1</v>
      </c>
      <c r="H72" s="27">
        <v>0</v>
      </c>
      <c r="I72" s="27">
        <v>0</v>
      </c>
      <c r="J72" s="27">
        <v>1</v>
      </c>
      <c r="K72" s="27">
        <v>1</v>
      </c>
      <c r="L72" s="27">
        <v>1</v>
      </c>
      <c r="M72" s="27">
        <v>0</v>
      </c>
      <c r="N72" s="27">
        <v>1</v>
      </c>
      <c r="O72" s="27">
        <v>1</v>
      </c>
      <c r="P72" s="27">
        <v>0</v>
      </c>
      <c r="Q72" s="3">
        <v>96</v>
      </c>
      <c r="R72" s="3">
        <v>69</v>
      </c>
      <c r="S72" s="20">
        <v>1</v>
      </c>
      <c r="T72" s="20">
        <v>0</v>
      </c>
      <c r="U72" s="3">
        <v>102.5</v>
      </c>
      <c r="V72" s="5">
        <v>16</v>
      </c>
      <c r="W72" s="29">
        <v>36.452199999999998</v>
      </c>
      <c r="X72" s="29">
        <v>37.948</v>
      </c>
      <c r="Y72" s="29">
        <v>19.634</v>
      </c>
      <c r="Z72" s="3">
        <v>1.0660000000000001</v>
      </c>
      <c r="AA72" s="44">
        <f t="shared" si="8"/>
        <v>1066</v>
      </c>
      <c r="AB72" s="3">
        <v>5.6</v>
      </c>
      <c r="AC72" s="3">
        <v>92</v>
      </c>
      <c r="AD72" s="3">
        <v>11.6</v>
      </c>
      <c r="AE72" s="5">
        <f>AC72*AD72/405</f>
        <v>2.6350617283950619</v>
      </c>
      <c r="AF72" s="39">
        <v>-0.8</v>
      </c>
      <c r="AG72" s="39">
        <v>30.5</v>
      </c>
      <c r="AH72" s="39">
        <v>15.391</v>
      </c>
      <c r="AI72" s="51">
        <v>0.505</v>
      </c>
      <c r="AJ72" s="53">
        <v>49.7</v>
      </c>
      <c r="AK72" s="63">
        <v>435.24999999999989</v>
      </c>
      <c r="AL72" s="63">
        <v>42.64</v>
      </c>
      <c r="AM72" s="63">
        <v>630</v>
      </c>
    </row>
    <row r="73" spans="1:39" x14ac:dyDescent="0.3">
      <c r="A73" s="19" t="s">
        <v>91</v>
      </c>
      <c r="B73" s="56" t="str">
        <f t="shared" ref="B73:B106" si="9">IF(C73&gt;5,"ruim","bom")</f>
        <v>ruim</v>
      </c>
      <c r="C73" s="59">
        <v>7</v>
      </c>
      <c r="D73" s="27">
        <v>0</v>
      </c>
      <c r="E73" s="67">
        <v>74</v>
      </c>
      <c r="F73" s="56">
        <v>0</v>
      </c>
      <c r="G73" s="56">
        <v>1</v>
      </c>
      <c r="H73" s="56">
        <v>0</v>
      </c>
      <c r="I73" s="56">
        <v>0</v>
      </c>
      <c r="J73" s="56">
        <v>0</v>
      </c>
      <c r="K73" s="56">
        <v>1</v>
      </c>
      <c r="L73" s="56">
        <v>1</v>
      </c>
      <c r="M73" s="56">
        <v>0</v>
      </c>
      <c r="N73" s="56">
        <v>0</v>
      </c>
      <c r="O73" s="56">
        <v>1</v>
      </c>
      <c r="P73" s="56">
        <v>0</v>
      </c>
      <c r="Q73" s="3">
        <v>41</v>
      </c>
      <c r="R73" s="3">
        <v>62</v>
      </c>
      <c r="S73" s="20">
        <v>7</v>
      </c>
      <c r="T73" s="20">
        <v>3</v>
      </c>
      <c r="U73" s="3">
        <v>105.7</v>
      </c>
      <c r="V73" s="3">
        <v>19</v>
      </c>
      <c r="W73" s="29">
        <v>37.465000000000003</v>
      </c>
      <c r="X73" s="29">
        <v>45.506500000000003</v>
      </c>
      <c r="Y73" s="29">
        <v>19.202999999999999</v>
      </c>
      <c r="Z73" s="3">
        <v>1.361</v>
      </c>
      <c r="AA73" s="44">
        <f t="shared" si="8"/>
        <v>1361</v>
      </c>
      <c r="AB73" s="3">
        <v>6</v>
      </c>
      <c r="AC73" s="3">
        <v>119</v>
      </c>
      <c r="AD73" s="3">
        <v>20.399999999999999</v>
      </c>
      <c r="AE73" s="5">
        <f t="shared" ref="AE73:AE80" si="10">AC73*AD73/405</f>
        <v>5.9940740740740734</v>
      </c>
      <c r="AF73" s="39">
        <v>-1.2</v>
      </c>
      <c r="AG73" s="39">
        <v>38</v>
      </c>
      <c r="AH73" s="39">
        <v>15.273999999999999</v>
      </c>
      <c r="AI73" s="51">
        <v>0.40200000000000002</v>
      </c>
      <c r="AJ73" s="53">
        <v>53.5</v>
      </c>
      <c r="AK73" s="63">
        <v>687.34999999999991</v>
      </c>
      <c r="AL73" s="63">
        <v>56.819999999999993</v>
      </c>
      <c r="AM73" s="63">
        <v>736</v>
      </c>
    </row>
    <row r="74" spans="1:39" x14ac:dyDescent="0.3">
      <c r="A74" s="19" t="s">
        <v>92</v>
      </c>
      <c r="B74" s="27" t="str">
        <f t="shared" si="9"/>
        <v>ruim</v>
      </c>
      <c r="C74" s="59">
        <v>6</v>
      </c>
      <c r="D74" s="56">
        <v>0</v>
      </c>
      <c r="E74" s="67">
        <v>67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1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3">
        <v>82</v>
      </c>
      <c r="R74" s="3">
        <v>88</v>
      </c>
      <c r="S74" s="20">
        <v>9</v>
      </c>
      <c r="T74" s="20">
        <v>1</v>
      </c>
      <c r="U74" s="3">
        <v>111.7</v>
      </c>
      <c r="V74" s="3">
        <v>16</v>
      </c>
      <c r="W74" s="29">
        <v>41.795400000000001</v>
      </c>
      <c r="X74" s="29">
        <v>43.216900000000003</v>
      </c>
      <c r="Y74" s="29">
        <v>23.17</v>
      </c>
      <c r="Z74" s="3">
        <v>1.573</v>
      </c>
      <c r="AA74" s="44">
        <f t="shared" si="8"/>
        <v>1573</v>
      </c>
      <c r="AB74" s="3">
        <v>5.7</v>
      </c>
      <c r="AC74" s="3">
        <v>85</v>
      </c>
      <c r="AD74" s="3">
        <v>6</v>
      </c>
      <c r="AE74" s="5">
        <f t="shared" si="10"/>
        <v>1.2592592592592593</v>
      </c>
      <c r="AF74" s="39">
        <v>-2.4</v>
      </c>
      <c r="AG74" s="39">
        <v>34.69</v>
      </c>
      <c r="AH74" s="39">
        <v>17.72</v>
      </c>
      <c r="AI74" s="51">
        <v>0.51100000000000001</v>
      </c>
      <c r="AJ74" s="53">
        <v>49.7</v>
      </c>
      <c r="AK74" s="63">
        <v>210.5</v>
      </c>
      <c r="AL74" s="63">
        <v>36.735000000000007</v>
      </c>
      <c r="AM74" s="63">
        <v>441.5</v>
      </c>
    </row>
    <row r="75" spans="1:39" x14ac:dyDescent="0.3">
      <c r="A75" s="19" t="s">
        <v>63</v>
      </c>
      <c r="B75" s="27" t="str">
        <f t="shared" si="9"/>
        <v>bom</v>
      </c>
      <c r="C75" s="59">
        <v>5</v>
      </c>
      <c r="D75" s="27">
        <v>0</v>
      </c>
      <c r="E75" s="67">
        <v>80</v>
      </c>
      <c r="F75" s="27">
        <v>1</v>
      </c>
      <c r="G75" s="27">
        <v>1</v>
      </c>
      <c r="H75" s="27">
        <v>0</v>
      </c>
      <c r="I75" s="27">
        <v>0</v>
      </c>
      <c r="J75" s="27">
        <v>1</v>
      </c>
      <c r="K75" s="27">
        <v>1</v>
      </c>
      <c r="L75" s="27">
        <v>1</v>
      </c>
      <c r="M75" s="27">
        <v>1</v>
      </c>
      <c r="N75" s="27">
        <v>1</v>
      </c>
      <c r="O75" s="27">
        <v>1</v>
      </c>
      <c r="P75" s="27">
        <v>0</v>
      </c>
      <c r="Q75" s="3">
        <v>30</v>
      </c>
      <c r="R75" s="3">
        <v>80</v>
      </c>
      <c r="S75" s="20">
        <v>8</v>
      </c>
      <c r="T75" s="20">
        <v>5</v>
      </c>
      <c r="U75" s="3">
        <v>98</v>
      </c>
      <c r="V75" s="5">
        <v>6</v>
      </c>
      <c r="W75" s="29">
        <v>36.701999999999998</v>
      </c>
      <c r="X75" s="29">
        <v>36.576000000000001</v>
      </c>
      <c r="Y75" s="29">
        <v>17.783000000000001</v>
      </c>
      <c r="Z75" s="3">
        <v>0.90900000000000003</v>
      </c>
      <c r="AA75" s="44">
        <f t="shared" si="8"/>
        <v>909</v>
      </c>
      <c r="AB75" s="3">
        <v>5.7</v>
      </c>
      <c r="AC75" s="3">
        <v>116</v>
      </c>
      <c r="AD75" s="3">
        <v>7.2</v>
      </c>
      <c r="AE75" s="5">
        <f t="shared" si="10"/>
        <v>2.0622222222222222</v>
      </c>
      <c r="AF75" s="39">
        <v>-5.5</v>
      </c>
      <c r="AG75" s="39">
        <v>31.7</v>
      </c>
      <c r="AH75" s="39">
        <v>15.260999999999999</v>
      </c>
      <c r="AI75" s="51">
        <v>0.48099999999999998</v>
      </c>
      <c r="AJ75" s="53">
        <v>48.4</v>
      </c>
      <c r="AK75" s="63">
        <v>318.8</v>
      </c>
      <c r="AL75" s="63">
        <v>33.325000000000003</v>
      </c>
      <c r="AM75" s="63">
        <v>726.5</v>
      </c>
    </row>
    <row r="76" spans="1:39" x14ac:dyDescent="0.3">
      <c r="A76" s="19" t="s">
        <v>22</v>
      </c>
      <c r="B76" s="56" t="str">
        <f t="shared" si="9"/>
        <v>ruim</v>
      </c>
      <c r="C76" s="59">
        <v>12</v>
      </c>
      <c r="D76" s="27">
        <v>0</v>
      </c>
      <c r="E76" s="67">
        <v>72</v>
      </c>
      <c r="F76" s="56">
        <v>0</v>
      </c>
      <c r="G76" s="56">
        <v>1</v>
      </c>
      <c r="H76" s="56">
        <v>0</v>
      </c>
      <c r="I76" s="56">
        <v>0</v>
      </c>
      <c r="J76" s="56">
        <v>1</v>
      </c>
      <c r="K76" s="56">
        <v>1</v>
      </c>
      <c r="L76" s="56">
        <v>1</v>
      </c>
      <c r="M76" s="56">
        <v>0</v>
      </c>
      <c r="N76" s="56">
        <v>1</v>
      </c>
      <c r="O76" s="56">
        <v>0</v>
      </c>
      <c r="P76" s="56">
        <v>0</v>
      </c>
      <c r="Q76" s="39"/>
      <c r="R76" s="39"/>
      <c r="S76" s="20">
        <v>5</v>
      </c>
      <c r="T76" s="20">
        <v>3</v>
      </c>
      <c r="U76" s="3">
        <v>103.9</v>
      </c>
      <c r="V76" s="3">
        <v>17</v>
      </c>
      <c r="W76" s="29">
        <v>33.991900000000001</v>
      </c>
      <c r="X76" s="29">
        <v>35.478700000000003</v>
      </c>
      <c r="Y76" s="29">
        <v>18.188400000000001</v>
      </c>
      <c r="Z76" s="3">
        <v>1.0469999999999999</v>
      </c>
      <c r="AA76" s="44">
        <f t="shared" si="8"/>
        <v>1047</v>
      </c>
      <c r="AB76" s="3">
        <v>6.1</v>
      </c>
      <c r="AC76" s="3">
        <v>116</v>
      </c>
      <c r="AD76" s="3">
        <v>9</v>
      </c>
      <c r="AE76" s="5">
        <f t="shared" si="10"/>
        <v>2.5777777777777779</v>
      </c>
      <c r="AF76" s="39">
        <v>-3.2</v>
      </c>
      <c r="AG76" s="39">
        <v>33.4</v>
      </c>
      <c r="AH76" s="39">
        <v>13.22</v>
      </c>
      <c r="AI76" s="51">
        <v>0.39600000000000002</v>
      </c>
      <c r="AJ76" s="53">
        <v>49.9</v>
      </c>
      <c r="AK76" s="63">
        <v>172.5</v>
      </c>
      <c r="AL76" s="63">
        <v>31.620000000000012</v>
      </c>
      <c r="AM76" s="63">
        <v>789.5</v>
      </c>
    </row>
    <row r="77" spans="1:39" x14ac:dyDescent="0.3">
      <c r="A77" s="19" t="s">
        <v>23</v>
      </c>
      <c r="B77" s="27" t="str">
        <f t="shared" si="9"/>
        <v>bom</v>
      </c>
      <c r="C77" s="59">
        <v>4</v>
      </c>
      <c r="D77" s="56">
        <v>0</v>
      </c>
      <c r="E77" s="67">
        <v>71</v>
      </c>
      <c r="F77" s="27">
        <v>0</v>
      </c>
      <c r="G77" s="27">
        <v>1</v>
      </c>
      <c r="H77" s="27">
        <v>0</v>
      </c>
      <c r="I77" s="27">
        <v>0</v>
      </c>
      <c r="J77" s="27">
        <v>0</v>
      </c>
      <c r="K77" s="27">
        <v>1</v>
      </c>
      <c r="L77" s="27">
        <v>1</v>
      </c>
      <c r="M77" s="27">
        <v>0</v>
      </c>
      <c r="N77" s="27">
        <v>0</v>
      </c>
      <c r="O77" s="27">
        <v>1</v>
      </c>
      <c r="P77" s="27">
        <v>0</v>
      </c>
      <c r="Q77" s="3">
        <v>78</v>
      </c>
      <c r="R77" s="3">
        <v>58</v>
      </c>
      <c r="S77" s="20">
        <v>3</v>
      </c>
      <c r="T77" s="20">
        <v>4</v>
      </c>
      <c r="U77" s="3">
        <v>111.5</v>
      </c>
      <c r="V77" s="3">
        <v>16</v>
      </c>
      <c r="W77" s="29">
        <v>37.313000000000002</v>
      </c>
      <c r="X77" s="29">
        <v>33.252499999999998</v>
      </c>
      <c r="Y77" s="29">
        <v>20.2713</v>
      </c>
      <c r="Z77" s="3">
        <v>1.395</v>
      </c>
      <c r="AA77" s="44">
        <f t="shared" si="8"/>
        <v>1395</v>
      </c>
      <c r="AB77" s="3">
        <v>6</v>
      </c>
      <c r="AC77" s="3">
        <v>108</v>
      </c>
      <c r="AD77" s="3">
        <v>43.6</v>
      </c>
      <c r="AE77" s="5">
        <f t="shared" si="10"/>
        <v>11.626666666666667</v>
      </c>
      <c r="AF77" s="39">
        <v>0.7</v>
      </c>
      <c r="AG77" s="39">
        <v>30.8</v>
      </c>
      <c r="AH77" s="39">
        <v>14.042999999999999</v>
      </c>
      <c r="AI77" s="51">
        <v>0.45600000000000002</v>
      </c>
      <c r="AJ77" s="53">
        <v>46.2</v>
      </c>
      <c r="AK77" s="63">
        <v>1106.921822369608</v>
      </c>
      <c r="AL77" s="63">
        <v>84.729999999999961</v>
      </c>
      <c r="AM77" s="63">
        <v>927</v>
      </c>
    </row>
    <row r="78" spans="1:39" ht="28.8" x14ac:dyDescent="0.3">
      <c r="A78" s="19" t="s">
        <v>93</v>
      </c>
      <c r="B78" s="27" t="str">
        <f t="shared" si="9"/>
        <v>bom</v>
      </c>
      <c r="C78" s="59">
        <v>2</v>
      </c>
      <c r="D78" s="56">
        <v>0</v>
      </c>
      <c r="E78" s="67">
        <v>69</v>
      </c>
      <c r="F78" s="27">
        <v>0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3">
        <v>66</v>
      </c>
      <c r="R78" s="3">
        <v>83</v>
      </c>
      <c r="S78" s="20">
        <v>1</v>
      </c>
      <c r="T78" s="20">
        <v>0</v>
      </c>
      <c r="U78" s="3">
        <v>128</v>
      </c>
      <c r="V78" s="3">
        <v>16</v>
      </c>
      <c r="W78" s="29">
        <v>44.1</v>
      </c>
      <c r="X78" s="29">
        <v>50.872</v>
      </c>
      <c r="Y78" s="29">
        <v>25.701000000000001</v>
      </c>
      <c r="Z78" s="3">
        <v>1.738</v>
      </c>
      <c r="AA78" s="44">
        <f t="shared" si="8"/>
        <v>1738</v>
      </c>
      <c r="AB78" s="3">
        <v>5.8</v>
      </c>
      <c r="AC78" s="3">
        <v>83</v>
      </c>
      <c r="AD78" s="3">
        <v>12</v>
      </c>
      <c r="AE78" s="5">
        <f t="shared" si="10"/>
        <v>2.4592592592592593</v>
      </c>
      <c r="AF78" s="39">
        <v>-7.4</v>
      </c>
      <c r="AG78" s="39">
        <v>42.33</v>
      </c>
      <c r="AH78" s="39">
        <v>20.178999999999998</v>
      </c>
      <c r="AI78" s="51">
        <v>0.47699999999999998</v>
      </c>
      <c r="AJ78" s="53">
        <v>52.5</v>
      </c>
      <c r="AK78" s="63">
        <v>223.99276786953561</v>
      </c>
      <c r="AL78" s="63">
        <v>28.47000000000001</v>
      </c>
      <c r="AM78" s="63">
        <v>578</v>
      </c>
    </row>
    <row r="79" spans="1:39" x14ac:dyDescent="0.3">
      <c r="A79" s="19" t="s">
        <v>64</v>
      </c>
      <c r="B79" s="56" t="str">
        <f t="shared" si="9"/>
        <v>bom</v>
      </c>
      <c r="C79" s="59">
        <v>5</v>
      </c>
      <c r="D79" s="27">
        <v>1</v>
      </c>
      <c r="E79" s="67">
        <v>73</v>
      </c>
      <c r="F79" s="56">
        <v>1</v>
      </c>
      <c r="G79" s="56">
        <v>1</v>
      </c>
      <c r="H79" s="56">
        <v>0</v>
      </c>
      <c r="I79" s="56">
        <v>0</v>
      </c>
      <c r="J79" s="56">
        <v>1</v>
      </c>
      <c r="K79" s="56">
        <v>0</v>
      </c>
      <c r="L79" s="56">
        <v>1</v>
      </c>
      <c r="M79" s="56">
        <v>1</v>
      </c>
      <c r="N79" s="56">
        <v>1</v>
      </c>
      <c r="O79" s="56">
        <v>0</v>
      </c>
      <c r="P79" s="56">
        <v>0</v>
      </c>
      <c r="Q79" s="3">
        <v>64</v>
      </c>
      <c r="R79" s="3">
        <v>69</v>
      </c>
      <c r="S79" s="20">
        <v>4</v>
      </c>
      <c r="T79" s="20">
        <v>4</v>
      </c>
      <c r="U79" s="21">
        <v>112.9</v>
      </c>
      <c r="V79" s="21">
        <v>28</v>
      </c>
      <c r="W79" s="22">
        <v>55.290999999999997</v>
      </c>
      <c r="X79" s="22">
        <v>34.625999999999998</v>
      </c>
      <c r="Y79" s="22">
        <v>19.591999999999999</v>
      </c>
      <c r="Z79" s="21">
        <v>1.1839999999999999</v>
      </c>
      <c r="AA79" s="44">
        <f t="shared" si="8"/>
        <v>1184</v>
      </c>
      <c r="AB79" s="21" t="s">
        <v>105</v>
      </c>
      <c r="AC79" s="21">
        <v>146</v>
      </c>
      <c r="AD79" s="21">
        <v>12.5</v>
      </c>
      <c r="AE79" s="5">
        <f t="shared" si="10"/>
        <v>4.5061728395061724</v>
      </c>
      <c r="AF79" s="39"/>
      <c r="AG79" s="39">
        <v>31.8</v>
      </c>
      <c r="AH79" s="39">
        <v>24.524999999999999</v>
      </c>
      <c r="AI79" s="51">
        <v>0.77100000000000002</v>
      </c>
      <c r="AJ79" s="53">
        <v>37.4</v>
      </c>
      <c r="AK79" s="63">
        <v>150.69999999999999</v>
      </c>
      <c r="AL79" s="63">
        <v>26.129999999999988</v>
      </c>
      <c r="AM79" s="63">
        <v>1053</v>
      </c>
    </row>
    <row r="80" spans="1:39" x14ac:dyDescent="0.3">
      <c r="A80" s="19" t="s">
        <v>94</v>
      </c>
      <c r="B80" s="27" t="str">
        <f t="shared" si="9"/>
        <v>ruim</v>
      </c>
      <c r="C80" s="59">
        <v>10</v>
      </c>
      <c r="D80" s="27">
        <v>0</v>
      </c>
      <c r="E80" s="66">
        <v>72</v>
      </c>
      <c r="F80" s="27">
        <v>1</v>
      </c>
      <c r="G80" s="27">
        <v>0</v>
      </c>
      <c r="H80" s="27">
        <v>1</v>
      </c>
      <c r="I80" s="27">
        <v>0</v>
      </c>
      <c r="J80" s="27">
        <v>1</v>
      </c>
      <c r="K80" s="27">
        <v>1</v>
      </c>
      <c r="L80" s="27">
        <v>0</v>
      </c>
      <c r="M80" s="27">
        <v>1</v>
      </c>
      <c r="N80" s="27">
        <v>1</v>
      </c>
      <c r="O80" s="27">
        <v>0</v>
      </c>
      <c r="P80" s="27">
        <v>1</v>
      </c>
      <c r="Q80" s="3">
        <v>75</v>
      </c>
      <c r="R80" s="3">
        <v>81</v>
      </c>
      <c r="S80" s="20">
        <v>13</v>
      </c>
      <c r="T80" s="20">
        <v>9</v>
      </c>
      <c r="U80" s="34">
        <v>101.1</v>
      </c>
      <c r="V80" s="34">
        <v>17</v>
      </c>
      <c r="W80" s="35">
        <v>34.054000000000002</v>
      </c>
      <c r="X80" s="35">
        <v>33.293999999999997</v>
      </c>
      <c r="Y80" s="35">
        <v>17.651</v>
      </c>
      <c r="Z80" s="34">
        <v>0.92500000000000004</v>
      </c>
      <c r="AA80" s="44">
        <f t="shared" si="8"/>
        <v>925</v>
      </c>
      <c r="AB80" s="21">
        <v>6.8</v>
      </c>
      <c r="AC80" s="21">
        <v>132</v>
      </c>
      <c r="AD80" s="21">
        <v>19.2</v>
      </c>
      <c r="AE80" s="5">
        <f t="shared" si="10"/>
        <v>6.2577777777777781</v>
      </c>
      <c r="AF80" s="39">
        <v>-2.2000000000000002</v>
      </c>
      <c r="AG80" s="39">
        <v>32</v>
      </c>
      <c r="AH80" s="39">
        <v>13.9</v>
      </c>
      <c r="AI80" s="51">
        <v>0.434</v>
      </c>
      <c r="AJ80" s="53">
        <v>48.3</v>
      </c>
      <c r="AK80" s="63">
        <v>500.20606903346999</v>
      </c>
      <c r="AL80" s="63">
        <v>32.197768906796881</v>
      </c>
      <c r="AM80" s="63">
        <v>921</v>
      </c>
    </row>
    <row r="81" spans="1:39" x14ac:dyDescent="0.3">
      <c r="A81" s="19" t="s">
        <v>65</v>
      </c>
      <c r="B81" s="27" t="str">
        <f t="shared" si="9"/>
        <v>bom</v>
      </c>
      <c r="C81" s="59">
        <v>4</v>
      </c>
      <c r="D81" s="56">
        <v>0</v>
      </c>
      <c r="E81" s="67">
        <v>67</v>
      </c>
      <c r="F81" s="27">
        <v>0</v>
      </c>
      <c r="G81" s="27">
        <v>1</v>
      </c>
      <c r="H81" s="27">
        <v>0</v>
      </c>
      <c r="I81" s="27">
        <v>0</v>
      </c>
      <c r="J81" s="27">
        <v>1</v>
      </c>
      <c r="K81" s="27">
        <v>1</v>
      </c>
      <c r="L81" s="27">
        <v>1</v>
      </c>
      <c r="M81" s="27">
        <v>0</v>
      </c>
      <c r="N81" s="27">
        <v>1</v>
      </c>
      <c r="O81" s="27">
        <v>0</v>
      </c>
      <c r="P81" s="27">
        <v>0</v>
      </c>
      <c r="Q81" s="3">
        <v>62</v>
      </c>
      <c r="R81" s="3">
        <v>76</v>
      </c>
      <c r="S81" s="20">
        <v>5</v>
      </c>
      <c r="T81" s="20">
        <v>1</v>
      </c>
      <c r="U81" s="3">
        <v>117</v>
      </c>
      <c r="V81" s="5">
        <v>19</v>
      </c>
      <c r="W81" s="29">
        <v>46.195</v>
      </c>
      <c r="X81" s="29">
        <v>49.061500000000002</v>
      </c>
      <c r="Y81" s="29">
        <v>24.056000000000001</v>
      </c>
      <c r="Z81" s="3">
        <v>1.3480000000000001</v>
      </c>
      <c r="AA81" s="44">
        <f t="shared" si="8"/>
        <v>1348</v>
      </c>
      <c r="AB81" s="3">
        <v>5.9</v>
      </c>
      <c r="AC81" s="3">
        <v>98</v>
      </c>
      <c r="AE81" s="5"/>
      <c r="AF81" s="39">
        <v>-6.2</v>
      </c>
      <c r="AG81" s="39">
        <v>40.799999999999997</v>
      </c>
      <c r="AH81" s="39">
        <v>20.065999999999999</v>
      </c>
      <c r="AI81" s="51">
        <v>0.49199999999999999</v>
      </c>
      <c r="AJ81" s="53">
        <v>50.3</v>
      </c>
      <c r="AK81" s="63">
        <v>371.6496818599453</v>
      </c>
      <c r="AL81" s="63">
        <v>46.08</v>
      </c>
      <c r="AM81" s="63">
        <v>615</v>
      </c>
    </row>
    <row r="82" spans="1:39" x14ac:dyDescent="0.3">
      <c r="A82" s="19" t="s">
        <v>95</v>
      </c>
      <c r="B82" s="56" t="str">
        <f t="shared" si="9"/>
        <v>bom</v>
      </c>
      <c r="C82" s="59">
        <v>3</v>
      </c>
      <c r="D82" s="27">
        <v>1</v>
      </c>
      <c r="E82" s="67">
        <v>68</v>
      </c>
      <c r="F82" s="56">
        <v>0</v>
      </c>
      <c r="G82" s="56">
        <v>1</v>
      </c>
      <c r="H82" s="56">
        <v>0</v>
      </c>
      <c r="I82" s="56">
        <v>0</v>
      </c>
      <c r="J82" s="56">
        <v>0</v>
      </c>
      <c r="K82" s="56">
        <v>0</v>
      </c>
      <c r="L82" s="56">
        <v>1</v>
      </c>
      <c r="M82" s="56">
        <v>0</v>
      </c>
      <c r="N82" s="56">
        <v>0</v>
      </c>
      <c r="O82" s="56">
        <v>0</v>
      </c>
      <c r="P82" s="56">
        <v>0</v>
      </c>
      <c r="Q82" s="3">
        <v>74</v>
      </c>
      <c r="R82" s="3">
        <v>55</v>
      </c>
      <c r="S82" s="20">
        <v>10</v>
      </c>
      <c r="T82" s="20">
        <v>6</v>
      </c>
      <c r="U82" s="3">
        <v>116.8</v>
      </c>
      <c r="V82" s="3">
        <v>28</v>
      </c>
      <c r="W82" s="29">
        <v>57.884099999999997</v>
      </c>
      <c r="X82" s="29">
        <v>36.779499999999999</v>
      </c>
      <c r="Y82" s="29">
        <v>17.354800000000001</v>
      </c>
      <c r="Z82" s="3">
        <v>1.1519999999999999</v>
      </c>
      <c r="AA82" s="44">
        <f t="shared" si="8"/>
        <v>1152</v>
      </c>
      <c r="AB82" s="3">
        <v>5.0999999999999996</v>
      </c>
      <c r="AC82" s="3">
        <v>77</v>
      </c>
      <c r="AD82" s="3">
        <v>11</v>
      </c>
      <c r="AE82" s="5">
        <f>AC82*AD82/405</f>
        <v>2.0913580246913579</v>
      </c>
      <c r="AF82" s="39">
        <v>-4.3</v>
      </c>
      <c r="AG82" s="39">
        <v>34.97</v>
      </c>
      <c r="AH82" s="39">
        <v>27.460999999999999</v>
      </c>
      <c r="AI82" s="51">
        <v>0.78500000000000003</v>
      </c>
      <c r="AJ82" s="53">
        <v>37.799999999999997</v>
      </c>
      <c r="AK82" s="63">
        <v>393.5</v>
      </c>
      <c r="AL82" s="63">
        <v>40.045000000000009</v>
      </c>
      <c r="AM82" s="63">
        <v>461</v>
      </c>
    </row>
    <row r="83" spans="1:39" ht="28.8" x14ac:dyDescent="0.3">
      <c r="A83" s="19" t="s">
        <v>24</v>
      </c>
      <c r="B83" s="27" t="str">
        <f t="shared" si="9"/>
        <v>ruim</v>
      </c>
      <c r="C83" s="59">
        <v>7</v>
      </c>
      <c r="D83" s="27">
        <v>0</v>
      </c>
      <c r="E83" s="67">
        <v>64</v>
      </c>
      <c r="F83" s="27">
        <v>1</v>
      </c>
      <c r="G83" s="27">
        <v>1</v>
      </c>
      <c r="H83" s="27">
        <v>1</v>
      </c>
      <c r="I83" s="27">
        <v>0</v>
      </c>
      <c r="J83" s="27">
        <v>1</v>
      </c>
      <c r="K83" s="27">
        <v>0</v>
      </c>
      <c r="L83" s="27">
        <v>1</v>
      </c>
      <c r="M83" s="27">
        <v>1</v>
      </c>
      <c r="N83" s="27">
        <v>1</v>
      </c>
      <c r="O83" s="27">
        <v>0</v>
      </c>
      <c r="P83" s="27">
        <v>1</v>
      </c>
      <c r="Q83" s="3">
        <v>29</v>
      </c>
      <c r="R83" s="3">
        <v>14</v>
      </c>
      <c r="S83" s="20">
        <v>18</v>
      </c>
      <c r="T83" s="20">
        <v>12</v>
      </c>
      <c r="U83" s="21">
        <v>116.5</v>
      </c>
      <c r="V83" s="21">
        <v>17</v>
      </c>
      <c r="W83" s="22">
        <v>47.563499999999998</v>
      </c>
      <c r="X83" s="22">
        <v>52.801099999999998</v>
      </c>
      <c r="Y83" s="22">
        <v>26.32</v>
      </c>
      <c r="Z83" s="21">
        <v>1.143</v>
      </c>
      <c r="AA83" s="44">
        <f t="shared" si="8"/>
        <v>1143</v>
      </c>
      <c r="AB83" s="30"/>
      <c r="AC83" s="30"/>
      <c r="AD83" s="30"/>
      <c r="AE83" s="5"/>
      <c r="AF83" s="39"/>
      <c r="AG83" s="39">
        <v>37.18</v>
      </c>
      <c r="AH83" s="39">
        <v>21.254999999999999</v>
      </c>
      <c r="AI83" s="51">
        <v>0.57199999999999995</v>
      </c>
      <c r="AJ83" s="53">
        <v>51.4</v>
      </c>
    </row>
    <row r="84" spans="1:39" x14ac:dyDescent="0.3">
      <c r="A84" s="19" t="s">
        <v>96</v>
      </c>
      <c r="B84" s="27" t="str">
        <f t="shared" si="9"/>
        <v>ruim</v>
      </c>
      <c r="C84" s="59">
        <v>8</v>
      </c>
      <c r="D84" s="56">
        <v>0</v>
      </c>
      <c r="E84" s="66">
        <v>86</v>
      </c>
      <c r="F84" s="27">
        <v>1</v>
      </c>
      <c r="G84" s="27">
        <v>0</v>
      </c>
      <c r="H84" s="27">
        <v>1</v>
      </c>
      <c r="I84" s="27">
        <v>0</v>
      </c>
      <c r="J84" s="27">
        <v>1</v>
      </c>
      <c r="K84" s="27">
        <v>1</v>
      </c>
      <c r="L84" s="27">
        <v>0</v>
      </c>
      <c r="M84" s="27">
        <v>1</v>
      </c>
      <c r="N84" s="27">
        <v>1</v>
      </c>
      <c r="O84" s="27">
        <v>0</v>
      </c>
      <c r="P84" s="27">
        <v>1</v>
      </c>
      <c r="Q84" s="3">
        <v>76</v>
      </c>
      <c r="R84" s="3">
        <v>34</v>
      </c>
      <c r="S84" s="20">
        <v>9</v>
      </c>
      <c r="T84" s="20">
        <v>3</v>
      </c>
      <c r="U84" s="24">
        <v>102.5</v>
      </c>
      <c r="V84" s="24">
        <v>14</v>
      </c>
      <c r="W84" s="25">
        <v>32.761000000000003</v>
      </c>
      <c r="X84" s="25">
        <v>27.9968</v>
      </c>
      <c r="Y84" s="25">
        <v>16.690100000000001</v>
      </c>
      <c r="Z84" s="24">
        <v>0.872</v>
      </c>
      <c r="AA84" s="44">
        <f t="shared" si="8"/>
        <v>872</v>
      </c>
      <c r="AB84" s="26">
        <v>7.8</v>
      </c>
      <c r="AC84" s="26">
        <v>166</v>
      </c>
      <c r="AD84" s="26">
        <v>13.4</v>
      </c>
      <c r="AE84" s="5">
        <f t="shared" ref="AE84:AE89" si="11">AC84*AD84/405</f>
        <v>5.4923456790123462</v>
      </c>
      <c r="AF84" s="39">
        <v>-2.7</v>
      </c>
      <c r="AG84" s="39">
        <v>31.9</v>
      </c>
      <c r="AH84" s="39">
        <v>12.92</v>
      </c>
      <c r="AI84" s="51">
        <v>0.41299999999999998</v>
      </c>
      <c r="AJ84" s="53">
        <v>45.1</v>
      </c>
      <c r="AK84" s="63">
        <v>174.59950070791581</v>
      </c>
      <c r="AL84" s="63">
        <v>15.759999999999989</v>
      </c>
      <c r="AM84" s="63">
        <v>1293.5</v>
      </c>
    </row>
    <row r="85" spans="1:39" x14ac:dyDescent="0.3">
      <c r="A85" s="19" t="s">
        <v>25</v>
      </c>
      <c r="B85" s="56" t="str">
        <f t="shared" si="9"/>
        <v>bom</v>
      </c>
      <c r="C85" s="59">
        <v>3</v>
      </c>
      <c r="D85" s="56">
        <v>0</v>
      </c>
      <c r="E85" s="67">
        <v>66</v>
      </c>
      <c r="F85" s="56">
        <v>0</v>
      </c>
      <c r="G85" s="56">
        <v>0</v>
      </c>
      <c r="H85" s="56">
        <v>0</v>
      </c>
      <c r="I85" s="56">
        <v>0</v>
      </c>
      <c r="J85" s="56">
        <v>0</v>
      </c>
      <c r="K85" s="56">
        <v>1</v>
      </c>
      <c r="L85" s="56">
        <v>0</v>
      </c>
      <c r="M85" s="56">
        <v>0</v>
      </c>
      <c r="N85" s="56">
        <v>0</v>
      </c>
      <c r="O85" s="56">
        <v>0</v>
      </c>
      <c r="P85" s="56">
        <v>0</v>
      </c>
      <c r="Q85" s="3">
        <v>76</v>
      </c>
      <c r="R85" s="3">
        <v>87</v>
      </c>
      <c r="S85" s="20">
        <v>1</v>
      </c>
      <c r="T85" s="20">
        <v>2</v>
      </c>
      <c r="U85" s="3">
        <v>108</v>
      </c>
      <c r="V85" s="3">
        <v>16</v>
      </c>
      <c r="W85" s="29">
        <v>39.778399999999998</v>
      </c>
      <c r="X85" s="29">
        <v>45.328800000000001</v>
      </c>
      <c r="Y85" s="29">
        <v>20.644100000000002</v>
      </c>
      <c r="Z85" s="3">
        <v>1.0529999999999999</v>
      </c>
      <c r="AA85" s="44">
        <f t="shared" si="8"/>
        <v>1053</v>
      </c>
      <c r="AB85" s="3">
        <v>5.0999999999999996</v>
      </c>
      <c r="AC85" s="3">
        <v>99</v>
      </c>
      <c r="AD85" s="3">
        <v>8</v>
      </c>
      <c r="AE85" s="5">
        <f t="shared" si="11"/>
        <v>1.9555555555555555</v>
      </c>
      <c r="AF85" s="39">
        <v>3.4</v>
      </c>
      <c r="AG85" s="39">
        <v>34.75</v>
      </c>
      <c r="AH85" s="39">
        <v>16.824999999999999</v>
      </c>
      <c r="AI85" s="51">
        <v>0.48399999999999999</v>
      </c>
      <c r="AJ85" s="53">
        <v>52</v>
      </c>
      <c r="AK85" s="63">
        <v>237.5</v>
      </c>
      <c r="AL85" s="63">
        <v>37.594999999999999</v>
      </c>
      <c r="AM85" s="63">
        <v>305</v>
      </c>
    </row>
    <row r="86" spans="1:39" x14ac:dyDescent="0.3">
      <c r="A86" s="19" t="s">
        <v>97</v>
      </c>
      <c r="B86" s="27" t="str">
        <f t="shared" si="9"/>
        <v>bom</v>
      </c>
      <c r="C86" s="59">
        <v>5</v>
      </c>
      <c r="D86" s="27">
        <v>0</v>
      </c>
      <c r="E86" s="67">
        <v>69</v>
      </c>
      <c r="F86" s="27">
        <v>0</v>
      </c>
      <c r="G86" s="27">
        <v>0</v>
      </c>
      <c r="H86" s="27">
        <v>0</v>
      </c>
      <c r="I86" s="27">
        <v>0</v>
      </c>
      <c r="J86" s="27">
        <v>1</v>
      </c>
      <c r="K86" s="27">
        <v>1</v>
      </c>
      <c r="L86" s="27">
        <v>0</v>
      </c>
      <c r="M86" s="27">
        <v>0</v>
      </c>
      <c r="N86" s="27">
        <v>1</v>
      </c>
      <c r="O86" s="27">
        <v>0</v>
      </c>
      <c r="P86" s="27">
        <v>0</v>
      </c>
      <c r="Q86" s="3">
        <v>98</v>
      </c>
      <c r="R86" s="3">
        <v>97</v>
      </c>
      <c r="S86" s="20">
        <v>9</v>
      </c>
      <c r="T86" s="20">
        <v>4</v>
      </c>
      <c r="U86" s="3">
        <v>101.6</v>
      </c>
      <c r="V86" s="3">
        <v>16</v>
      </c>
      <c r="W86" s="29">
        <v>35.359000000000002</v>
      </c>
      <c r="X86" s="29">
        <v>39.996000000000002</v>
      </c>
      <c r="Y86" s="29">
        <v>20.047599999999999</v>
      </c>
      <c r="Z86" s="3">
        <v>1.1040000000000001</v>
      </c>
      <c r="AA86" s="44">
        <f t="shared" si="8"/>
        <v>1104</v>
      </c>
      <c r="AB86" s="3">
        <v>5.4</v>
      </c>
      <c r="AC86" s="3">
        <v>90</v>
      </c>
      <c r="AD86" s="3">
        <v>11</v>
      </c>
      <c r="AE86" s="5">
        <f t="shared" si="11"/>
        <v>2.4444444444444446</v>
      </c>
      <c r="AF86" s="39">
        <v>-0.6</v>
      </c>
      <c r="AG86" s="39">
        <v>32.5</v>
      </c>
      <c r="AH86" s="39">
        <v>15.13</v>
      </c>
      <c r="AI86" s="51">
        <v>0.46600000000000003</v>
      </c>
      <c r="AJ86" s="53">
        <v>51.8</v>
      </c>
      <c r="AK86" s="63">
        <v>238.83297336432719</v>
      </c>
      <c r="AL86" s="63">
        <v>38.405000000000001</v>
      </c>
      <c r="AM86" s="63">
        <v>501</v>
      </c>
    </row>
    <row r="87" spans="1:39" x14ac:dyDescent="0.3">
      <c r="A87" s="19" t="s">
        <v>66</v>
      </c>
      <c r="B87" s="27" t="str">
        <f t="shared" si="9"/>
        <v>ruim</v>
      </c>
      <c r="C87" s="59">
        <v>9</v>
      </c>
      <c r="D87" s="27">
        <v>1</v>
      </c>
      <c r="E87" s="67">
        <v>65</v>
      </c>
      <c r="F87" s="27">
        <v>0</v>
      </c>
      <c r="G87" s="27">
        <v>1</v>
      </c>
      <c r="H87" s="27">
        <v>1</v>
      </c>
      <c r="I87" s="27">
        <v>1</v>
      </c>
      <c r="J87" s="27">
        <v>0</v>
      </c>
      <c r="K87" s="27">
        <v>0</v>
      </c>
      <c r="L87" s="27">
        <v>1</v>
      </c>
      <c r="M87" s="27">
        <v>0</v>
      </c>
      <c r="N87" s="27">
        <v>0</v>
      </c>
      <c r="O87" s="27">
        <v>0</v>
      </c>
      <c r="P87" s="27">
        <v>1</v>
      </c>
      <c r="Q87" s="3">
        <v>58</v>
      </c>
      <c r="R87" s="3">
        <v>28</v>
      </c>
      <c r="S87" s="20">
        <v>8</v>
      </c>
      <c r="T87" s="20">
        <v>6</v>
      </c>
      <c r="U87" s="3">
        <v>136.5</v>
      </c>
      <c r="V87" s="3">
        <v>20</v>
      </c>
      <c r="W87" s="29">
        <v>62.0762</v>
      </c>
      <c r="X87" s="29">
        <v>57.405000000000001</v>
      </c>
      <c r="Y87" s="29">
        <v>34.082999999999998</v>
      </c>
      <c r="Z87" s="3">
        <v>1.929</v>
      </c>
      <c r="AA87" s="44">
        <f t="shared" si="8"/>
        <v>1929</v>
      </c>
      <c r="AB87" s="3">
        <v>5.4</v>
      </c>
      <c r="AC87" s="3">
        <v>104</v>
      </c>
      <c r="AD87" s="3">
        <v>32</v>
      </c>
      <c r="AE87" s="5">
        <f t="shared" si="11"/>
        <v>8.2172839506172846</v>
      </c>
      <c r="AF87" s="39">
        <v>-9.8000000000000007</v>
      </c>
      <c r="AG87" s="39">
        <v>40.729999999999997</v>
      </c>
      <c r="AH87" s="39">
        <v>26.864000000000001</v>
      </c>
      <c r="AI87" s="51">
        <v>0.66</v>
      </c>
      <c r="AJ87" s="53">
        <v>47.1</v>
      </c>
      <c r="AK87" s="63">
        <v>549.5</v>
      </c>
      <c r="AL87" s="63">
        <v>47.339999999999989</v>
      </c>
      <c r="AM87" s="63">
        <v>668.5</v>
      </c>
    </row>
    <row r="88" spans="1:39" x14ac:dyDescent="0.3">
      <c r="A88" s="19" t="s">
        <v>67</v>
      </c>
      <c r="B88" s="56" t="str">
        <f t="shared" si="9"/>
        <v>ruim</v>
      </c>
      <c r="C88" s="59">
        <v>6</v>
      </c>
      <c r="D88" s="56">
        <v>1</v>
      </c>
      <c r="E88" s="67">
        <v>66</v>
      </c>
      <c r="F88" s="56">
        <v>0</v>
      </c>
      <c r="G88" s="56">
        <v>0</v>
      </c>
      <c r="H88" s="56">
        <v>1</v>
      </c>
      <c r="I88" s="56">
        <v>1</v>
      </c>
      <c r="J88" s="56">
        <v>1</v>
      </c>
      <c r="K88" s="56">
        <v>1</v>
      </c>
      <c r="L88" s="56">
        <v>0</v>
      </c>
      <c r="M88" s="56">
        <v>0</v>
      </c>
      <c r="N88" s="56">
        <v>1</v>
      </c>
      <c r="O88" s="56">
        <v>0</v>
      </c>
      <c r="P88" s="56">
        <v>1</v>
      </c>
      <c r="Q88" s="3">
        <v>79</v>
      </c>
      <c r="R88" s="3">
        <v>76</v>
      </c>
      <c r="S88" s="20">
        <v>4</v>
      </c>
      <c r="T88" s="20">
        <v>5</v>
      </c>
      <c r="U88" s="3">
        <v>113</v>
      </c>
      <c r="V88" s="3">
        <v>26</v>
      </c>
      <c r="W88" s="29">
        <v>50.594000000000001</v>
      </c>
      <c r="X88" s="29">
        <v>35.159999999999997</v>
      </c>
      <c r="Y88" s="29">
        <v>20.919</v>
      </c>
      <c r="Z88" s="3">
        <v>1.5089999999999999</v>
      </c>
      <c r="AA88" s="44">
        <f t="shared" si="8"/>
        <v>1509</v>
      </c>
      <c r="AB88" s="3">
        <v>5.6</v>
      </c>
      <c r="AC88" s="3">
        <v>95</v>
      </c>
      <c r="AD88" s="3">
        <v>16</v>
      </c>
      <c r="AE88" s="5">
        <f t="shared" si="11"/>
        <v>3.7530864197530862</v>
      </c>
      <c r="AF88" s="39">
        <v>-9.1</v>
      </c>
      <c r="AG88" s="39">
        <v>32.520000000000003</v>
      </c>
      <c r="AH88" s="39">
        <v>21.193999999999999</v>
      </c>
      <c r="AI88" s="51">
        <v>0.65200000000000002</v>
      </c>
      <c r="AJ88" s="53">
        <v>40.1</v>
      </c>
      <c r="AK88" s="63">
        <v>671</v>
      </c>
      <c r="AL88" s="63">
        <v>54.005000000000017</v>
      </c>
      <c r="AM88" s="63">
        <v>808</v>
      </c>
    </row>
    <row r="89" spans="1:39" x14ac:dyDescent="0.3">
      <c r="A89" s="19" t="s">
        <v>26</v>
      </c>
      <c r="B89" s="27" t="str">
        <f t="shared" si="9"/>
        <v>bom</v>
      </c>
      <c r="C89" s="59">
        <v>5</v>
      </c>
      <c r="D89" s="27">
        <v>0</v>
      </c>
      <c r="E89" s="66">
        <v>74</v>
      </c>
      <c r="F89" s="27">
        <v>0</v>
      </c>
      <c r="G89" s="27">
        <v>1</v>
      </c>
      <c r="H89" s="27">
        <v>0</v>
      </c>
      <c r="I89" s="27">
        <v>0</v>
      </c>
      <c r="J89" s="27">
        <v>1</v>
      </c>
      <c r="K89" s="27">
        <v>1</v>
      </c>
      <c r="L89" s="27">
        <v>1</v>
      </c>
      <c r="M89" s="27">
        <v>0</v>
      </c>
      <c r="N89" s="27">
        <v>1</v>
      </c>
      <c r="O89" s="27">
        <v>0</v>
      </c>
      <c r="P89" s="27">
        <v>0</v>
      </c>
      <c r="Q89" s="3">
        <v>77</v>
      </c>
      <c r="R89" s="3">
        <v>89</v>
      </c>
      <c r="S89" s="20">
        <v>6</v>
      </c>
      <c r="T89" s="20">
        <v>3</v>
      </c>
      <c r="U89" s="24">
        <v>98.2</v>
      </c>
      <c r="V89" s="24">
        <v>15</v>
      </c>
      <c r="W89" s="31">
        <v>36.4253</v>
      </c>
      <c r="X89" s="25">
        <v>33.716999999999999</v>
      </c>
      <c r="Y89" s="25">
        <v>17.077999999999999</v>
      </c>
      <c r="Z89" s="24">
        <v>0.78700000000000003</v>
      </c>
      <c r="AA89" s="44">
        <f t="shared" si="8"/>
        <v>787</v>
      </c>
      <c r="AB89" s="26">
        <v>5.5</v>
      </c>
      <c r="AC89" s="26">
        <v>94</v>
      </c>
      <c r="AD89" s="26">
        <v>9.3000000000000007</v>
      </c>
      <c r="AE89" s="5">
        <f t="shared" si="11"/>
        <v>2.1585185185185187</v>
      </c>
      <c r="AF89" s="39"/>
      <c r="AG89" s="39">
        <v>30.9</v>
      </c>
      <c r="AH89" s="39">
        <v>13.829000000000001</v>
      </c>
      <c r="AI89" s="51">
        <v>0.44800000000000001</v>
      </c>
      <c r="AJ89" s="53">
        <v>46.8</v>
      </c>
      <c r="AK89" s="63">
        <v>345.46033634762068</v>
      </c>
      <c r="AL89" s="63">
        <v>41.639999999999993</v>
      </c>
      <c r="AM89" s="63">
        <v>523.5</v>
      </c>
    </row>
    <row r="90" spans="1:39" x14ac:dyDescent="0.3">
      <c r="A90" s="19" t="s">
        <v>27</v>
      </c>
      <c r="B90" s="27" t="str">
        <f t="shared" si="9"/>
        <v>bom</v>
      </c>
      <c r="C90" s="59">
        <v>2</v>
      </c>
      <c r="D90" s="27">
        <v>0</v>
      </c>
      <c r="E90" s="66">
        <v>74</v>
      </c>
      <c r="F90" s="27">
        <v>0</v>
      </c>
      <c r="G90" s="27">
        <v>1</v>
      </c>
      <c r="H90" s="27">
        <v>0</v>
      </c>
      <c r="I90" s="27">
        <v>0</v>
      </c>
      <c r="J90" s="27">
        <v>1</v>
      </c>
      <c r="K90" s="27">
        <v>1</v>
      </c>
      <c r="L90" s="27">
        <v>1</v>
      </c>
      <c r="M90" s="27">
        <v>0</v>
      </c>
      <c r="N90" s="27">
        <v>1</v>
      </c>
      <c r="O90" s="27">
        <v>0</v>
      </c>
      <c r="P90" s="27">
        <v>0</v>
      </c>
      <c r="Q90" s="3">
        <v>87</v>
      </c>
      <c r="R90" s="3">
        <v>41</v>
      </c>
      <c r="S90" s="20">
        <v>15</v>
      </c>
      <c r="T90" s="20">
        <v>10</v>
      </c>
      <c r="U90" s="24">
        <v>96</v>
      </c>
      <c r="V90" s="24">
        <v>20</v>
      </c>
      <c r="W90" s="25">
        <v>35.978999999999999</v>
      </c>
      <c r="X90" s="25">
        <v>27.046299999999999</v>
      </c>
      <c r="Y90" s="25">
        <v>13.691800000000001</v>
      </c>
      <c r="Z90" s="24">
        <v>0.84</v>
      </c>
      <c r="AA90" s="44">
        <f t="shared" si="8"/>
        <v>840</v>
      </c>
      <c r="AB90" s="26">
        <v>5.7</v>
      </c>
      <c r="AC90" s="26">
        <v>91</v>
      </c>
      <c r="AD90" s="32"/>
      <c r="AE90" s="5"/>
      <c r="AF90" s="39">
        <v>-1.1000000000000001</v>
      </c>
      <c r="AG90" s="39">
        <v>31.3</v>
      </c>
      <c r="AH90" s="39">
        <v>15.257</v>
      </c>
      <c r="AI90" s="51">
        <v>0.48699999999999999</v>
      </c>
      <c r="AJ90" s="53">
        <v>42</v>
      </c>
      <c r="AK90" s="63">
        <v>250.25</v>
      </c>
      <c r="AL90" s="63">
        <v>35.045000000000002</v>
      </c>
      <c r="AM90" s="63">
        <v>517.5</v>
      </c>
    </row>
    <row r="91" spans="1:39" x14ac:dyDescent="0.3">
      <c r="A91" s="19" t="s">
        <v>28</v>
      </c>
      <c r="B91" s="56" t="str">
        <f t="shared" si="9"/>
        <v>ruim</v>
      </c>
      <c r="C91" s="59">
        <v>7</v>
      </c>
      <c r="D91" s="56">
        <v>1</v>
      </c>
      <c r="E91" s="67">
        <v>74</v>
      </c>
      <c r="F91" s="56">
        <v>0</v>
      </c>
      <c r="G91" s="56">
        <v>1</v>
      </c>
      <c r="H91" s="56">
        <v>0</v>
      </c>
      <c r="I91" s="56">
        <v>0</v>
      </c>
      <c r="J91" s="56">
        <v>1</v>
      </c>
      <c r="K91" s="56">
        <v>0</v>
      </c>
      <c r="L91" s="56">
        <v>1</v>
      </c>
      <c r="M91" s="56">
        <v>0</v>
      </c>
      <c r="N91" s="56">
        <v>1</v>
      </c>
      <c r="O91" s="56">
        <v>0</v>
      </c>
      <c r="P91" s="56">
        <v>0</v>
      </c>
      <c r="Q91" s="3">
        <v>48</v>
      </c>
      <c r="R91" s="3">
        <v>40</v>
      </c>
      <c r="S91" s="20">
        <v>10</v>
      </c>
      <c r="T91" s="20">
        <v>4</v>
      </c>
      <c r="U91" s="21">
        <v>123</v>
      </c>
      <c r="V91" s="21">
        <v>34</v>
      </c>
      <c r="W91" s="22">
        <v>58.506</v>
      </c>
      <c r="X91" s="22">
        <v>37.423000000000002</v>
      </c>
      <c r="Y91" s="22">
        <v>20.206</v>
      </c>
      <c r="Z91" s="21">
        <v>1.492</v>
      </c>
      <c r="AA91" s="44">
        <f t="shared" si="8"/>
        <v>1492</v>
      </c>
      <c r="AB91" s="30"/>
      <c r="AC91" s="30"/>
      <c r="AD91" s="30"/>
      <c r="AE91" s="5"/>
      <c r="AF91" s="39"/>
      <c r="AG91" s="39">
        <v>38.299999999999997</v>
      </c>
      <c r="AH91" s="39">
        <v>24.856999999999999</v>
      </c>
      <c r="AI91" s="51">
        <v>0.64900000000000002</v>
      </c>
      <c r="AJ91" s="53">
        <v>37.9</v>
      </c>
    </row>
    <row r="92" spans="1:39" x14ac:dyDescent="0.3">
      <c r="A92" s="19" t="s">
        <v>98</v>
      </c>
      <c r="B92" s="27" t="str">
        <f t="shared" si="9"/>
        <v>bom</v>
      </c>
      <c r="C92" s="59">
        <v>2</v>
      </c>
      <c r="D92" s="56">
        <v>0</v>
      </c>
      <c r="E92" s="67">
        <v>78</v>
      </c>
      <c r="F92" s="27">
        <v>1</v>
      </c>
      <c r="G92" s="27">
        <v>1</v>
      </c>
      <c r="H92" s="27">
        <v>0</v>
      </c>
      <c r="I92" s="27">
        <v>0</v>
      </c>
      <c r="J92" s="27">
        <v>0</v>
      </c>
      <c r="K92" s="27">
        <v>0</v>
      </c>
      <c r="L92" s="27">
        <v>1</v>
      </c>
      <c r="M92" s="27">
        <v>1</v>
      </c>
      <c r="N92" s="27">
        <v>0</v>
      </c>
      <c r="O92" s="27">
        <v>0</v>
      </c>
      <c r="P92" s="27">
        <v>0</v>
      </c>
      <c r="Q92" s="3">
        <v>67</v>
      </c>
      <c r="R92" s="3">
        <v>84</v>
      </c>
      <c r="S92" s="20">
        <v>4</v>
      </c>
      <c r="T92" s="20">
        <v>3</v>
      </c>
      <c r="U92" s="3">
        <v>119.8</v>
      </c>
      <c r="V92" s="5">
        <v>16</v>
      </c>
      <c r="W92" s="29">
        <v>43.436</v>
      </c>
      <c r="X92" s="29">
        <v>42.767000000000003</v>
      </c>
      <c r="Y92" s="29">
        <v>21.477</v>
      </c>
      <c r="Z92" s="3">
        <v>0.80400000000000005</v>
      </c>
      <c r="AA92" s="44">
        <f t="shared" si="8"/>
        <v>804</v>
      </c>
      <c r="AB92" s="3">
        <v>7.1</v>
      </c>
      <c r="AC92" s="3">
        <v>130</v>
      </c>
      <c r="AD92" s="3">
        <v>11.8</v>
      </c>
      <c r="AE92" s="5">
        <f>AC92*AD92/405</f>
        <v>3.7876543209876545</v>
      </c>
      <c r="AF92" s="39">
        <v>-6.6</v>
      </c>
      <c r="AG92" s="39">
        <v>37.700000000000003</v>
      </c>
      <c r="AH92" s="39">
        <v>16.954000000000001</v>
      </c>
      <c r="AI92" s="51">
        <v>0.45</v>
      </c>
      <c r="AJ92" s="53">
        <v>48.3</v>
      </c>
      <c r="AK92" s="63">
        <v>205.55</v>
      </c>
      <c r="AL92" s="63">
        <v>27.23</v>
      </c>
      <c r="AM92" s="63">
        <v>856.5</v>
      </c>
    </row>
    <row r="93" spans="1:39" x14ac:dyDescent="0.3">
      <c r="A93" s="19" t="s">
        <v>29</v>
      </c>
      <c r="B93" s="27" t="str">
        <f t="shared" si="9"/>
        <v>bom</v>
      </c>
      <c r="C93" s="59">
        <v>3</v>
      </c>
      <c r="D93" s="27">
        <v>0</v>
      </c>
      <c r="E93" s="67">
        <v>66</v>
      </c>
      <c r="F93" s="27">
        <v>0</v>
      </c>
      <c r="G93" s="27">
        <v>1</v>
      </c>
      <c r="H93" s="27">
        <v>0</v>
      </c>
      <c r="I93" s="27">
        <v>0</v>
      </c>
      <c r="J93" s="27">
        <v>0</v>
      </c>
      <c r="K93" s="27">
        <v>1</v>
      </c>
      <c r="L93" s="27">
        <v>1</v>
      </c>
      <c r="M93" s="27">
        <v>0</v>
      </c>
      <c r="N93" s="27">
        <v>0</v>
      </c>
      <c r="O93" s="27">
        <v>0</v>
      </c>
      <c r="P93" s="27">
        <v>0</v>
      </c>
      <c r="Q93" s="3">
        <v>77</v>
      </c>
      <c r="R93" s="3">
        <v>78</v>
      </c>
      <c r="S93" s="20">
        <v>1</v>
      </c>
      <c r="T93" s="20">
        <v>2</v>
      </c>
      <c r="U93" s="21">
        <v>125</v>
      </c>
      <c r="V93" s="21">
        <v>16</v>
      </c>
      <c r="W93" s="22">
        <v>46.606999999999999</v>
      </c>
      <c r="X93" s="21">
        <v>54.015099999999997</v>
      </c>
      <c r="Y93" s="22">
        <v>29.861000000000001</v>
      </c>
      <c r="Z93" s="21">
        <v>1.2889999999999999</v>
      </c>
      <c r="AA93" s="44">
        <f t="shared" si="8"/>
        <v>1289</v>
      </c>
      <c r="AB93" s="21">
        <v>5.6</v>
      </c>
      <c r="AC93" s="21">
        <v>85</v>
      </c>
      <c r="AD93" s="21">
        <v>18.600000000000001</v>
      </c>
      <c r="AE93" s="5">
        <f>AC93*AD93/405</f>
        <v>3.9037037037037043</v>
      </c>
      <c r="AF93" s="39"/>
      <c r="AG93" s="39">
        <v>39.700000000000003</v>
      </c>
      <c r="AH93" s="39">
        <v>17.786000000000001</v>
      </c>
      <c r="AI93" s="51">
        <v>0.44800000000000001</v>
      </c>
      <c r="AJ93" s="53">
        <v>53.7</v>
      </c>
      <c r="AK93" s="63">
        <v>660.83996630400657</v>
      </c>
      <c r="AL93" s="63">
        <v>55.003579989414177</v>
      </c>
      <c r="AM93" s="63">
        <v>522.40355679039226</v>
      </c>
    </row>
    <row r="94" spans="1:39" x14ac:dyDescent="0.3">
      <c r="A94" s="19" t="s">
        <v>30</v>
      </c>
      <c r="B94" s="56" t="str">
        <f t="shared" si="9"/>
        <v>bom</v>
      </c>
      <c r="C94" s="59">
        <v>4</v>
      </c>
      <c r="D94" s="27">
        <v>0</v>
      </c>
      <c r="E94" s="67">
        <v>67</v>
      </c>
      <c r="F94" s="56">
        <v>0</v>
      </c>
      <c r="G94" s="56">
        <v>1</v>
      </c>
      <c r="H94" s="56">
        <v>0</v>
      </c>
      <c r="I94" s="56">
        <v>1</v>
      </c>
      <c r="J94" s="56">
        <v>0</v>
      </c>
      <c r="K94" s="56">
        <v>0</v>
      </c>
      <c r="L94" s="56">
        <v>1</v>
      </c>
      <c r="M94" s="56">
        <v>0</v>
      </c>
      <c r="N94" s="56">
        <v>0</v>
      </c>
      <c r="O94" s="56">
        <v>0</v>
      </c>
      <c r="P94" s="56">
        <v>0</v>
      </c>
      <c r="Q94" s="3">
        <v>71</v>
      </c>
      <c r="R94" s="3">
        <v>64</v>
      </c>
      <c r="S94" s="20">
        <v>3</v>
      </c>
      <c r="T94" s="20">
        <v>0</v>
      </c>
      <c r="U94" s="3">
        <v>113.5</v>
      </c>
      <c r="V94" s="3">
        <v>19</v>
      </c>
      <c r="W94" s="29">
        <v>42.59</v>
      </c>
      <c r="X94" s="29">
        <v>46.732399999999998</v>
      </c>
      <c r="Y94" s="29">
        <v>21.058</v>
      </c>
      <c r="Z94" s="3">
        <v>0.91800000000000004</v>
      </c>
      <c r="AA94" s="44">
        <f t="shared" si="8"/>
        <v>918</v>
      </c>
      <c r="AB94" s="3">
        <v>5.2</v>
      </c>
      <c r="AC94" s="3">
        <v>98</v>
      </c>
      <c r="AD94" s="3">
        <v>16</v>
      </c>
      <c r="AE94" s="5">
        <f>AC94*AD94/405</f>
        <v>3.8716049382716049</v>
      </c>
      <c r="AF94" s="39">
        <v>0.5</v>
      </c>
      <c r="AG94" s="39">
        <v>40.5</v>
      </c>
      <c r="AH94" s="39">
        <v>19.018999999999998</v>
      </c>
      <c r="AI94" s="51">
        <v>0.47</v>
      </c>
      <c r="AJ94" s="53">
        <v>51.2</v>
      </c>
      <c r="AK94" s="63">
        <v>397.47800094874123</v>
      </c>
      <c r="AL94" s="63">
        <v>49.260000000000012</v>
      </c>
      <c r="AM94" s="63">
        <v>473.5</v>
      </c>
    </row>
    <row r="95" spans="1:39" x14ac:dyDescent="0.3">
      <c r="A95" s="19" t="s">
        <v>31</v>
      </c>
      <c r="B95" s="27" t="str">
        <f t="shared" si="9"/>
        <v>ruim</v>
      </c>
      <c r="C95" s="59">
        <v>10</v>
      </c>
      <c r="D95" s="56">
        <v>0</v>
      </c>
      <c r="E95" s="67">
        <v>75</v>
      </c>
      <c r="F95" s="27">
        <v>0</v>
      </c>
      <c r="G95" s="27">
        <v>1</v>
      </c>
      <c r="H95" s="27">
        <v>1</v>
      </c>
      <c r="I95" s="27">
        <v>0</v>
      </c>
      <c r="J95" s="27">
        <v>1</v>
      </c>
      <c r="K95" s="27">
        <v>1</v>
      </c>
      <c r="L95" s="27">
        <v>1</v>
      </c>
      <c r="M95" s="27">
        <v>0</v>
      </c>
      <c r="N95" s="27">
        <v>1</v>
      </c>
      <c r="O95" s="27">
        <v>0</v>
      </c>
      <c r="P95" s="27">
        <v>1</v>
      </c>
      <c r="Q95" s="3">
        <v>38</v>
      </c>
      <c r="R95" s="3">
        <v>86</v>
      </c>
      <c r="S95" s="20">
        <v>1</v>
      </c>
      <c r="T95" s="20">
        <v>3</v>
      </c>
      <c r="U95" s="3">
        <v>110.6</v>
      </c>
      <c r="V95" s="3">
        <v>14</v>
      </c>
      <c r="W95" s="29">
        <v>41.259</v>
      </c>
      <c r="X95" s="29">
        <v>42.395000000000003</v>
      </c>
      <c r="Y95" s="29">
        <v>22.6</v>
      </c>
      <c r="Z95" s="3">
        <v>1.371</v>
      </c>
      <c r="AA95" s="44">
        <f t="shared" si="8"/>
        <v>1371</v>
      </c>
      <c r="AB95" s="3">
        <v>5.9</v>
      </c>
      <c r="AC95" s="3">
        <v>89</v>
      </c>
      <c r="AD95" s="3">
        <v>10.7</v>
      </c>
      <c r="AE95" s="5">
        <f>AC95*AD95/405</f>
        <v>2.3513580246913581</v>
      </c>
      <c r="AF95" s="39">
        <v>2</v>
      </c>
      <c r="AG95" s="39">
        <v>34.1</v>
      </c>
      <c r="AH95" s="39">
        <v>17.166</v>
      </c>
      <c r="AI95" s="51">
        <v>0.503</v>
      </c>
      <c r="AJ95" s="53">
        <v>49.6</v>
      </c>
      <c r="AK95" s="63">
        <v>505.42031613872081</v>
      </c>
      <c r="AL95" s="63">
        <v>57.949244491313827</v>
      </c>
      <c r="AM95" s="63">
        <v>525</v>
      </c>
    </row>
    <row r="96" spans="1:39" x14ac:dyDescent="0.3">
      <c r="A96" s="19" t="s">
        <v>99</v>
      </c>
      <c r="B96" s="27" t="str">
        <f t="shared" si="9"/>
        <v>ruim</v>
      </c>
      <c r="C96" s="59">
        <v>14</v>
      </c>
      <c r="D96" s="27">
        <v>0</v>
      </c>
      <c r="E96" s="67">
        <v>68</v>
      </c>
      <c r="F96" s="27">
        <v>1</v>
      </c>
      <c r="G96" s="27">
        <v>1</v>
      </c>
      <c r="H96" s="27">
        <v>0</v>
      </c>
      <c r="I96" s="27">
        <v>0</v>
      </c>
      <c r="J96" s="27">
        <v>0</v>
      </c>
      <c r="K96" s="27">
        <v>0</v>
      </c>
      <c r="L96" s="27">
        <v>1</v>
      </c>
      <c r="M96" s="27">
        <v>1</v>
      </c>
      <c r="N96" s="27">
        <v>0</v>
      </c>
      <c r="O96" s="27">
        <v>1</v>
      </c>
      <c r="P96" s="27">
        <v>0</v>
      </c>
      <c r="Q96" s="3">
        <v>59</v>
      </c>
      <c r="R96" s="3">
        <v>77</v>
      </c>
      <c r="S96" s="20">
        <v>16</v>
      </c>
      <c r="T96" s="20">
        <v>8</v>
      </c>
      <c r="U96" s="21">
        <v>126</v>
      </c>
      <c r="V96" s="21">
        <v>29</v>
      </c>
      <c r="W96" s="22">
        <v>48.055999999999997</v>
      </c>
      <c r="X96" s="22">
        <v>62.143599999999999</v>
      </c>
      <c r="Y96" s="22">
        <v>29.5871</v>
      </c>
      <c r="Z96" s="21">
        <v>1.909</v>
      </c>
      <c r="AA96" s="44">
        <f t="shared" si="8"/>
        <v>1909</v>
      </c>
      <c r="AB96" s="30"/>
      <c r="AC96" s="30"/>
      <c r="AD96" s="30"/>
      <c r="AE96" s="5"/>
      <c r="AF96" s="39"/>
      <c r="AG96" s="39">
        <v>52.33</v>
      </c>
      <c r="AH96" s="39">
        <v>21.966999999999999</v>
      </c>
      <c r="AI96" s="51">
        <v>0.42</v>
      </c>
      <c r="AJ96" s="53">
        <v>55.4</v>
      </c>
    </row>
    <row r="97" spans="1:39" x14ac:dyDescent="0.3">
      <c r="A97" s="19" t="s">
        <v>32</v>
      </c>
      <c r="B97" s="56" t="str">
        <f t="shared" si="9"/>
        <v>bom</v>
      </c>
      <c r="C97" s="59">
        <v>5</v>
      </c>
      <c r="D97" s="27">
        <v>0</v>
      </c>
      <c r="E97" s="67">
        <v>70</v>
      </c>
      <c r="F97" s="56">
        <v>0</v>
      </c>
      <c r="G97" s="56">
        <v>1</v>
      </c>
      <c r="H97" s="56">
        <v>0</v>
      </c>
      <c r="I97" s="56">
        <v>0</v>
      </c>
      <c r="J97" s="56">
        <v>0</v>
      </c>
      <c r="K97" s="56">
        <v>0</v>
      </c>
      <c r="L97" s="56">
        <v>1</v>
      </c>
      <c r="M97" s="56">
        <v>0</v>
      </c>
      <c r="N97" s="56">
        <v>0</v>
      </c>
      <c r="O97" s="56">
        <v>0</v>
      </c>
      <c r="P97" s="56">
        <v>0</v>
      </c>
      <c r="Q97" s="3">
        <v>70</v>
      </c>
      <c r="R97" s="3">
        <v>81</v>
      </c>
      <c r="S97" s="20">
        <v>3</v>
      </c>
      <c r="T97" s="20">
        <v>1</v>
      </c>
      <c r="U97" s="3">
        <v>119.3</v>
      </c>
      <c r="V97" s="3">
        <v>18</v>
      </c>
      <c r="W97" s="29">
        <v>46.576300000000003</v>
      </c>
      <c r="X97" s="29">
        <v>61.175699999999999</v>
      </c>
      <c r="Y97" s="29">
        <v>27.497</v>
      </c>
      <c r="Z97" s="3">
        <v>1.304</v>
      </c>
      <c r="AA97" s="44">
        <f t="shared" si="8"/>
        <v>1304</v>
      </c>
      <c r="AB97" s="3">
        <v>4.9000000000000004</v>
      </c>
      <c r="AC97" s="3">
        <v>93</v>
      </c>
      <c r="AD97" s="3">
        <v>8</v>
      </c>
      <c r="AE97" s="5">
        <f t="shared" ref="AE97:AE106" si="12">AC97*AD97/405</f>
        <v>1.837037037037037</v>
      </c>
      <c r="AF97" s="39">
        <v>-3.5</v>
      </c>
      <c r="AG97" s="39">
        <v>42.94</v>
      </c>
      <c r="AH97" s="39">
        <v>21.023</v>
      </c>
      <c r="AI97" s="51">
        <v>0.49</v>
      </c>
      <c r="AJ97" s="53">
        <v>55.6</v>
      </c>
      <c r="AK97" s="63">
        <v>314.5</v>
      </c>
      <c r="AL97" s="63">
        <v>40.745000000000019</v>
      </c>
      <c r="AM97" s="63">
        <v>546.5</v>
      </c>
    </row>
    <row r="98" spans="1:39" x14ac:dyDescent="0.3">
      <c r="A98" s="19" t="s">
        <v>68</v>
      </c>
      <c r="B98" s="27" t="str">
        <f t="shared" si="9"/>
        <v>ruim</v>
      </c>
      <c r="C98" s="59">
        <v>7</v>
      </c>
      <c r="D98" s="56">
        <v>0</v>
      </c>
      <c r="E98" s="67">
        <v>71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3">
        <v>86</v>
      </c>
      <c r="R98" s="3">
        <v>30</v>
      </c>
      <c r="S98" s="20">
        <v>8</v>
      </c>
      <c r="T98" s="20">
        <v>8</v>
      </c>
      <c r="U98" s="3">
        <v>124.5</v>
      </c>
      <c r="V98" s="3">
        <v>20</v>
      </c>
      <c r="W98" s="29">
        <v>38.028500000000001</v>
      </c>
      <c r="X98" s="29">
        <v>51.985199999999999</v>
      </c>
      <c r="Y98" s="29">
        <v>28.2319</v>
      </c>
      <c r="Z98" s="3">
        <v>1.4990000000000001</v>
      </c>
      <c r="AA98" s="44">
        <f t="shared" ref="AA98:AA106" si="13">Z98*1000</f>
        <v>1499</v>
      </c>
      <c r="AB98" s="3">
        <v>5.6</v>
      </c>
      <c r="AC98" s="3">
        <v>93</v>
      </c>
      <c r="AD98" s="3">
        <v>10</v>
      </c>
      <c r="AE98" s="5">
        <f t="shared" si="12"/>
        <v>2.2962962962962963</v>
      </c>
      <c r="AF98" s="39">
        <v>-8.6</v>
      </c>
      <c r="AG98" s="39">
        <v>39.92</v>
      </c>
      <c r="AH98" s="39">
        <v>15.416</v>
      </c>
      <c r="AI98" s="51">
        <v>0.38600000000000001</v>
      </c>
      <c r="AJ98" s="53">
        <v>56.6</v>
      </c>
      <c r="AK98" s="63">
        <v>259.89929629922761</v>
      </c>
      <c r="AL98" s="63">
        <v>36.435000000000009</v>
      </c>
      <c r="AM98" s="63">
        <v>676</v>
      </c>
    </row>
    <row r="99" spans="1:39" ht="28.8" x14ac:dyDescent="0.3">
      <c r="A99" s="19" t="s">
        <v>33</v>
      </c>
      <c r="B99" s="27" t="str">
        <f t="shared" si="9"/>
        <v>ruim</v>
      </c>
      <c r="C99" s="59">
        <v>9</v>
      </c>
      <c r="D99" s="56">
        <v>0</v>
      </c>
      <c r="E99" s="67">
        <v>66</v>
      </c>
      <c r="F99" s="27">
        <v>0</v>
      </c>
      <c r="G99" s="27">
        <v>1</v>
      </c>
      <c r="H99" s="27">
        <v>0</v>
      </c>
      <c r="I99" s="27">
        <v>0</v>
      </c>
      <c r="J99" s="27">
        <v>0</v>
      </c>
      <c r="K99" s="27">
        <v>0</v>
      </c>
      <c r="L99" s="27">
        <v>1</v>
      </c>
      <c r="M99" s="27">
        <v>0</v>
      </c>
      <c r="N99" s="27">
        <v>0</v>
      </c>
      <c r="O99" s="27">
        <v>0</v>
      </c>
      <c r="P99" s="27">
        <v>0</v>
      </c>
      <c r="Q99" s="3">
        <v>45</v>
      </c>
      <c r="R99" s="3">
        <v>81</v>
      </c>
      <c r="S99" s="20">
        <v>6</v>
      </c>
      <c r="T99" s="20">
        <v>0</v>
      </c>
      <c r="U99" s="3">
        <v>103</v>
      </c>
      <c r="V99" s="3">
        <v>11</v>
      </c>
      <c r="W99" s="29">
        <v>35.012999999999998</v>
      </c>
      <c r="X99" s="29">
        <v>37.351999999999997</v>
      </c>
      <c r="Y99" s="29">
        <v>20.817</v>
      </c>
      <c r="Z99" s="3">
        <v>1.43</v>
      </c>
      <c r="AA99" s="44">
        <f t="shared" si="13"/>
        <v>1430</v>
      </c>
      <c r="AB99" s="3">
        <v>6</v>
      </c>
      <c r="AC99" s="3">
        <v>108</v>
      </c>
      <c r="AD99" s="3">
        <v>14</v>
      </c>
      <c r="AE99" s="5">
        <f t="shared" si="12"/>
        <v>3.7333333333333334</v>
      </c>
      <c r="AF99" s="39">
        <v>3.5</v>
      </c>
      <c r="AG99" s="39">
        <v>31.94</v>
      </c>
      <c r="AH99" s="39">
        <v>13.587</v>
      </c>
      <c r="AI99" s="51">
        <v>0.42499999999999999</v>
      </c>
      <c r="AJ99" s="53">
        <v>50.1</v>
      </c>
      <c r="AK99" s="63">
        <v>741.5</v>
      </c>
      <c r="AL99" s="63">
        <v>59.634999999999991</v>
      </c>
      <c r="AM99" s="63">
        <v>726.5</v>
      </c>
    </row>
    <row r="100" spans="1:39" x14ac:dyDescent="0.3">
      <c r="A100" s="19" t="s">
        <v>100</v>
      </c>
      <c r="B100" s="56" t="str">
        <f t="shared" si="9"/>
        <v>ruim</v>
      </c>
      <c r="C100" s="59">
        <v>7</v>
      </c>
      <c r="D100" s="27">
        <v>0</v>
      </c>
      <c r="E100" s="67">
        <v>91</v>
      </c>
      <c r="F100" s="56">
        <v>1</v>
      </c>
      <c r="G100" s="56">
        <v>1</v>
      </c>
      <c r="H100" s="56">
        <v>1</v>
      </c>
      <c r="I100" s="56">
        <v>0</v>
      </c>
      <c r="J100" s="56">
        <v>1</v>
      </c>
      <c r="K100" s="56">
        <v>0</v>
      </c>
      <c r="L100" s="56">
        <v>1</v>
      </c>
      <c r="M100" s="56">
        <v>1</v>
      </c>
      <c r="N100" s="56">
        <v>1</v>
      </c>
      <c r="O100" s="56">
        <v>1</v>
      </c>
      <c r="P100" s="56">
        <v>1</v>
      </c>
      <c r="Q100" s="3">
        <v>59</v>
      </c>
      <c r="R100" s="3">
        <v>64</v>
      </c>
      <c r="S100" s="20">
        <v>0</v>
      </c>
      <c r="T100" s="20">
        <v>4</v>
      </c>
      <c r="U100" s="3">
        <v>108</v>
      </c>
      <c r="V100" s="3">
        <v>12</v>
      </c>
      <c r="W100" s="29">
        <v>38.116999999999997</v>
      </c>
      <c r="X100" s="29">
        <v>42.732999999999997</v>
      </c>
      <c r="Y100" s="29">
        <v>20.401199999999999</v>
      </c>
      <c r="Z100" s="3">
        <v>1.373</v>
      </c>
      <c r="AA100" s="44">
        <f t="shared" si="13"/>
        <v>1373</v>
      </c>
      <c r="AB100" s="3">
        <v>5.8</v>
      </c>
      <c r="AC100" s="3">
        <v>97</v>
      </c>
      <c r="AD100" s="3">
        <v>10</v>
      </c>
      <c r="AE100" s="5">
        <f t="shared" si="12"/>
        <v>2.3950617283950617</v>
      </c>
      <c r="AF100" s="39">
        <v>-2.8</v>
      </c>
      <c r="AG100" s="39">
        <v>35.03</v>
      </c>
      <c r="AH100" s="39">
        <v>15.804</v>
      </c>
      <c r="AI100" s="51">
        <v>0.45100000000000001</v>
      </c>
      <c r="AJ100" s="53">
        <v>51.6</v>
      </c>
      <c r="AK100" s="63">
        <v>510.5</v>
      </c>
      <c r="AL100" s="63">
        <v>45.954999999999977</v>
      </c>
      <c r="AM100" s="63">
        <v>621</v>
      </c>
    </row>
    <row r="101" spans="1:39" x14ac:dyDescent="0.3">
      <c r="A101" s="19" t="s">
        <v>101</v>
      </c>
      <c r="B101" s="27" t="str">
        <f t="shared" si="9"/>
        <v>bom</v>
      </c>
      <c r="C101" s="59">
        <v>4</v>
      </c>
      <c r="D101" s="27">
        <v>0</v>
      </c>
      <c r="E101" s="67">
        <v>65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1</v>
      </c>
      <c r="P101" s="27">
        <v>0</v>
      </c>
      <c r="Q101" s="3">
        <v>65</v>
      </c>
      <c r="R101" s="3">
        <v>80</v>
      </c>
      <c r="S101" s="20">
        <v>2</v>
      </c>
      <c r="T101" s="20">
        <v>2</v>
      </c>
      <c r="U101" s="3">
        <v>102</v>
      </c>
      <c r="V101" s="3">
        <v>16</v>
      </c>
      <c r="W101" s="29">
        <v>34.387999999999998</v>
      </c>
      <c r="X101" s="29">
        <v>35.017000000000003</v>
      </c>
      <c r="Y101" s="29">
        <v>17.716999999999999</v>
      </c>
      <c r="Z101" s="3">
        <v>0.78400000000000003</v>
      </c>
      <c r="AA101" s="44">
        <f t="shared" si="13"/>
        <v>784</v>
      </c>
      <c r="AB101" s="3">
        <v>5.8</v>
      </c>
      <c r="AC101" s="3">
        <v>75</v>
      </c>
      <c r="AD101" s="3">
        <v>6.2</v>
      </c>
      <c r="AE101" s="5">
        <f t="shared" si="12"/>
        <v>1.1481481481481481</v>
      </c>
      <c r="AF101" s="39">
        <v>-2.5</v>
      </c>
      <c r="AG101" s="39">
        <v>30</v>
      </c>
      <c r="AH101" s="39">
        <v>14.137</v>
      </c>
      <c r="AI101" s="51">
        <v>0.47099999999999997</v>
      </c>
      <c r="AJ101" s="53">
        <v>48.7</v>
      </c>
      <c r="AK101" s="63">
        <v>157.44999999999999</v>
      </c>
      <c r="AL101" s="63">
        <v>27.224999999999991</v>
      </c>
      <c r="AM101" s="63">
        <v>426</v>
      </c>
    </row>
    <row r="102" spans="1:39" x14ac:dyDescent="0.3">
      <c r="A102" s="19" t="s">
        <v>69</v>
      </c>
      <c r="B102" s="27" t="str">
        <f t="shared" si="9"/>
        <v>ruim</v>
      </c>
      <c r="C102" s="59">
        <v>12</v>
      </c>
      <c r="D102" s="56">
        <v>0</v>
      </c>
      <c r="E102" s="67">
        <v>67</v>
      </c>
      <c r="F102" s="27">
        <v>0</v>
      </c>
      <c r="G102" s="27">
        <v>1</v>
      </c>
      <c r="H102" s="27">
        <v>0</v>
      </c>
      <c r="I102" s="27">
        <v>0</v>
      </c>
      <c r="J102" s="27">
        <v>1</v>
      </c>
      <c r="K102" s="27">
        <v>1</v>
      </c>
      <c r="L102" s="27">
        <v>1</v>
      </c>
      <c r="M102" s="27">
        <v>0</v>
      </c>
      <c r="N102" s="27">
        <v>1</v>
      </c>
      <c r="O102" s="27">
        <v>0</v>
      </c>
      <c r="P102" s="27">
        <v>0</v>
      </c>
      <c r="Q102" s="3">
        <v>51</v>
      </c>
      <c r="R102" s="3">
        <v>10</v>
      </c>
      <c r="S102" s="20">
        <v>16</v>
      </c>
      <c r="T102" s="20">
        <v>9</v>
      </c>
      <c r="U102" s="3">
        <v>118.5</v>
      </c>
      <c r="V102" s="3">
        <v>18</v>
      </c>
      <c r="W102" s="29">
        <v>43.23</v>
      </c>
      <c r="X102" s="29">
        <v>49.966200000000001</v>
      </c>
      <c r="Y102" s="29">
        <v>24.0959</v>
      </c>
      <c r="Z102" s="3">
        <v>1.1240000000000001</v>
      </c>
      <c r="AA102" s="44">
        <f t="shared" si="13"/>
        <v>1124</v>
      </c>
      <c r="AB102" s="3">
        <v>5.5</v>
      </c>
      <c r="AC102" s="3">
        <v>90</v>
      </c>
      <c r="AD102" s="3">
        <v>10</v>
      </c>
      <c r="AE102" s="5">
        <f t="shared" si="12"/>
        <v>2.2222222222222223</v>
      </c>
      <c r="AF102" s="39">
        <v>-7.1</v>
      </c>
      <c r="AG102" s="39">
        <v>40.56</v>
      </c>
      <c r="AH102" s="39">
        <v>17.733000000000001</v>
      </c>
      <c r="AI102" s="51">
        <v>0.437</v>
      </c>
      <c r="AJ102" s="53">
        <v>52.4</v>
      </c>
      <c r="AK102" s="63">
        <v>688.5</v>
      </c>
      <c r="AL102" s="63">
        <v>74.015000000000001</v>
      </c>
      <c r="AM102" s="63">
        <v>693.5</v>
      </c>
    </row>
    <row r="103" spans="1:39" x14ac:dyDescent="0.3">
      <c r="A103" s="19" t="s">
        <v>102</v>
      </c>
      <c r="B103" s="56" t="str">
        <f t="shared" si="9"/>
        <v>ruim</v>
      </c>
      <c r="C103" s="59">
        <v>8</v>
      </c>
      <c r="D103" s="27">
        <v>0</v>
      </c>
      <c r="E103" s="67">
        <v>70</v>
      </c>
      <c r="F103" s="56">
        <v>0</v>
      </c>
      <c r="G103" s="56">
        <v>0</v>
      </c>
      <c r="H103" s="56">
        <v>0</v>
      </c>
      <c r="I103" s="56">
        <v>0</v>
      </c>
      <c r="J103" s="56">
        <v>0</v>
      </c>
      <c r="K103" s="56">
        <v>1</v>
      </c>
      <c r="L103" s="56">
        <v>0</v>
      </c>
      <c r="M103" s="56">
        <v>0</v>
      </c>
      <c r="N103" s="56">
        <v>0</v>
      </c>
      <c r="O103" s="56">
        <v>0</v>
      </c>
      <c r="P103" s="56">
        <v>0</v>
      </c>
      <c r="Q103" s="3">
        <v>64</v>
      </c>
      <c r="R103" s="3">
        <v>90</v>
      </c>
      <c r="S103" s="20">
        <v>2</v>
      </c>
      <c r="T103" s="20">
        <v>3</v>
      </c>
      <c r="U103" s="3">
        <v>102</v>
      </c>
      <c r="V103" s="3">
        <v>18</v>
      </c>
      <c r="W103" s="29">
        <v>39.222900000000003</v>
      </c>
      <c r="X103" s="29">
        <v>36.127200000000002</v>
      </c>
      <c r="Y103" s="29">
        <v>17.946300000000001</v>
      </c>
      <c r="Z103" s="3">
        <v>1.133</v>
      </c>
      <c r="AA103" s="44">
        <f t="shared" si="13"/>
        <v>1133</v>
      </c>
      <c r="AB103" s="3">
        <v>6.4</v>
      </c>
      <c r="AC103" s="3">
        <v>125</v>
      </c>
      <c r="AD103" s="3">
        <v>12</v>
      </c>
      <c r="AE103" s="5">
        <f t="shared" si="12"/>
        <v>3.7037037037037037</v>
      </c>
      <c r="AF103" s="39">
        <v>-1.1000000000000001</v>
      </c>
      <c r="AG103" s="39">
        <v>34.22</v>
      </c>
      <c r="AH103" s="39">
        <v>16.763000000000002</v>
      </c>
      <c r="AI103" s="51">
        <v>0.49</v>
      </c>
      <c r="AJ103" s="53">
        <v>46.9</v>
      </c>
      <c r="AK103" s="63">
        <v>171</v>
      </c>
      <c r="AL103" s="63">
        <v>22.75</v>
      </c>
      <c r="AM103" s="63">
        <v>798.5</v>
      </c>
    </row>
    <row r="104" spans="1:39" x14ac:dyDescent="0.3">
      <c r="A104" s="19" t="s">
        <v>34</v>
      </c>
      <c r="B104" s="27" t="str">
        <f t="shared" si="9"/>
        <v>bom</v>
      </c>
      <c r="C104" s="59">
        <v>2</v>
      </c>
      <c r="D104" s="27">
        <v>0</v>
      </c>
      <c r="E104" s="67">
        <v>71</v>
      </c>
      <c r="F104" s="27">
        <v>0</v>
      </c>
      <c r="G104" s="27">
        <v>0</v>
      </c>
      <c r="H104" s="27">
        <v>1</v>
      </c>
      <c r="I104" s="27">
        <v>0</v>
      </c>
      <c r="J104" s="27">
        <v>0</v>
      </c>
      <c r="K104" s="27">
        <v>1</v>
      </c>
      <c r="L104" s="27">
        <v>0</v>
      </c>
      <c r="M104" s="27">
        <v>0</v>
      </c>
      <c r="N104" s="27">
        <v>0</v>
      </c>
      <c r="O104" s="27">
        <v>1</v>
      </c>
      <c r="P104" s="27">
        <v>1</v>
      </c>
      <c r="Q104" s="3">
        <v>88</v>
      </c>
      <c r="R104" s="3">
        <v>93</v>
      </c>
      <c r="S104" s="20">
        <v>4</v>
      </c>
      <c r="T104" s="20">
        <v>1</v>
      </c>
      <c r="U104" s="3">
        <v>106</v>
      </c>
      <c r="V104" s="3">
        <v>15</v>
      </c>
      <c r="W104" s="29">
        <v>36.866900000000001</v>
      </c>
      <c r="X104" s="29">
        <v>36.11</v>
      </c>
      <c r="Y104" s="29">
        <v>16.494900000000001</v>
      </c>
      <c r="Z104" s="3">
        <v>0.67500000000000004</v>
      </c>
      <c r="AA104" s="44">
        <f t="shared" si="13"/>
        <v>675</v>
      </c>
      <c r="AB104" s="3">
        <v>4.8</v>
      </c>
      <c r="AC104" s="3">
        <v>84</v>
      </c>
      <c r="AD104" s="3">
        <v>6</v>
      </c>
      <c r="AE104" s="5">
        <f t="shared" si="12"/>
        <v>1.2444444444444445</v>
      </c>
      <c r="AF104" s="39">
        <v>-1.5</v>
      </c>
      <c r="AG104" s="39">
        <v>32.47</v>
      </c>
      <c r="AH104" s="39">
        <v>14.936999999999999</v>
      </c>
      <c r="AI104" s="51">
        <v>0.46</v>
      </c>
      <c r="AJ104" s="53">
        <v>48.3</v>
      </c>
      <c r="AK104" s="63">
        <v>192</v>
      </c>
      <c r="AL104" s="63">
        <v>33.465000000000003</v>
      </c>
      <c r="AM104" s="63">
        <v>579</v>
      </c>
    </row>
    <row r="105" spans="1:39" ht="28.8" x14ac:dyDescent="0.3">
      <c r="A105" s="19" t="s">
        <v>103</v>
      </c>
      <c r="B105" s="27" t="str">
        <f t="shared" si="9"/>
        <v>ruim</v>
      </c>
      <c r="C105" s="59">
        <v>6</v>
      </c>
      <c r="D105" s="56">
        <v>0</v>
      </c>
      <c r="E105" s="66">
        <v>71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1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3">
        <v>90</v>
      </c>
      <c r="R105" s="3">
        <v>61</v>
      </c>
      <c r="S105" s="20">
        <v>7</v>
      </c>
      <c r="T105" s="20">
        <v>2</v>
      </c>
      <c r="U105" s="27">
        <v>102</v>
      </c>
      <c r="V105" s="24">
        <v>7</v>
      </c>
      <c r="W105" s="28">
        <v>34.856999999999999</v>
      </c>
      <c r="X105" s="28">
        <v>39.470999999999997</v>
      </c>
      <c r="Y105" s="28">
        <v>17.768999999999998</v>
      </c>
      <c r="Z105" s="27">
        <v>0.67100000000000004</v>
      </c>
      <c r="AA105" s="44">
        <f t="shared" si="13"/>
        <v>671</v>
      </c>
      <c r="AB105" s="3">
        <v>5.3</v>
      </c>
      <c r="AC105" s="3">
        <v>82</v>
      </c>
      <c r="AD105" s="3">
        <v>10.4</v>
      </c>
      <c r="AE105" s="5">
        <f t="shared" si="12"/>
        <v>2.105679012345679</v>
      </c>
      <c r="AF105" s="39">
        <v>-2.7</v>
      </c>
      <c r="AG105" s="39">
        <v>31.4</v>
      </c>
      <c r="AH105" s="39">
        <v>14.752000000000001</v>
      </c>
      <c r="AI105" s="51">
        <v>0.47</v>
      </c>
      <c r="AJ105" s="53">
        <v>52</v>
      </c>
      <c r="AK105" s="63">
        <v>297.35000000000002</v>
      </c>
      <c r="AL105" s="63">
        <v>41.295000000000009</v>
      </c>
      <c r="AM105" s="63">
        <v>441.5</v>
      </c>
    </row>
    <row r="106" spans="1:39" x14ac:dyDescent="0.3">
      <c r="A106" s="19" t="s">
        <v>104</v>
      </c>
      <c r="B106" s="56" t="str">
        <f t="shared" si="9"/>
        <v>ruim</v>
      </c>
      <c r="C106" s="59">
        <v>7</v>
      </c>
      <c r="D106" s="56">
        <v>0</v>
      </c>
      <c r="E106" s="67">
        <v>67</v>
      </c>
      <c r="F106" s="56">
        <v>0</v>
      </c>
      <c r="G106" s="56">
        <v>1</v>
      </c>
      <c r="H106" s="56">
        <v>1</v>
      </c>
      <c r="I106" s="56">
        <v>0</v>
      </c>
      <c r="J106" s="56">
        <v>0</v>
      </c>
      <c r="K106" s="56">
        <v>0</v>
      </c>
      <c r="L106" s="56">
        <v>1</v>
      </c>
      <c r="M106" s="56">
        <v>0</v>
      </c>
      <c r="N106" s="56">
        <v>0</v>
      </c>
      <c r="O106" s="56">
        <v>0</v>
      </c>
      <c r="P106" s="56">
        <v>1</v>
      </c>
      <c r="Q106" s="3">
        <v>61</v>
      </c>
      <c r="R106" s="3">
        <v>92</v>
      </c>
      <c r="S106" s="20">
        <v>4</v>
      </c>
      <c r="T106" s="20">
        <v>3</v>
      </c>
      <c r="U106" s="3">
        <v>117.5</v>
      </c>
      <c r="V106" s="5">
        <v>17</v>
      </c>
      <c r="W106" s="3">
        <v>38.124000000000002</v>
      </c>
      <c r="X106" s="3">
        <v>45.407499999999999</v>
      </c>
      <c r="Y106" s="29">
        <v>24.306999999999999</v>
      </c>
      <c r="Z106" s="3">
        <v>1.3009999999999999</v>
      </c>
      <c r="AA106" s="44">
        <f t="shared" si="13"/>
        <v>1301</v>
      </c>
      <c r="AB106" s="3">
        <v>5.3</v>
      </c>
      <c r="AC106" s="3">
        <v>94</v>
      </c>
      <c r="AD106" s="3">
        <v>12.2</v>
      </c>
      <c r="AE106" s="5">
        <f t="shared" si="12"/>
        <v>2.8316049382716049</v>
      </c>
      <c r="AF106" s="39">
        <v>-3.8</v>
      </c>
      <c r="AG106" s="39">
        <v>37.5</v>
      </c>
      <c r="AH106" s="39">
        <v>15.356999999999999</v>
      </c>
      <c r="AI106" s="51">
        <v>0.41</v>
      </c>
      <c r="AJ106" s="53">
        <v>53.1</v>
      </c>
      <c r="AK106" s="63">
        <v>368.20254724817602</v>
      </c>
      <c r="AL106" s="63">
        <v>37.534999999999989</v>
      </c>
      <c r="AM106" s="63">
        <v>490</v>
      </c>
    </row>
    <row r="107" spans="1:39" x14ac:dyDescent="0.3">
      <c r="C107" s="60"/>
      <c r="D107" s="57"/>
      <c r="S107" s="7"/>
      <c r="T107" s="7"/>
      <c r="U107" s="8"/>
      <c r="V107" s="8"/>
      <c r="W107" s="8"/>
      <c r="X107" s="8"/>
      <c r="Y107" s="8"/>
      <c r="Z107" s="8"/>
      <c r="AA107" s="9"/>
      <c r="AB107" s="8"/>
      <c r="AC107" s="8"/>
      <c r="AD107" s="8"/>
      <c r="AG107" s="2"/>
      <c r="AH107" s="4"/>
    </row>
    <row r="108" spans="1:39" x14ac:dyDescent="0.3">
      <c r="C108" s="60"/>
      <c r="D108" s="57"/>
      <c r="S108" s="7"/>
      <c r="T108" s="7"/>
      <c r="U108" s="8"/>
      <c r="V108" s="8"/>
      <c r="W108" s="8"/>
      <c r="X108" s="8"/>
      <c r="Y108" s="8"/>
      <c r="Z108" s="8"/>
      <c r="AA108" s="9"/>
      <c r="AB108" s="8"/>
      <c r="AC108" s="8"/>
      <c r="AD108" s="8"/>
      <c r="AG108" s="2"/>
      <c r="AH108" s="4"/>
    </row>
    <row r="109" spans="1:39" x14ac:dyDescent="0.3">
      <c r="D109" s="57"/>
      <c r="S109" s="10"/>
      <c r="T109" s="10"/>
      <c r="AA109" s="11"/>
    </row>
    <row r="110" spans="1:39" x14ac:dyDescent="0.3">
      <c r="D110" s="57"/>
      <c r="S110" s="10"/>
      <c r="T110" s="10"/>
      <c r="AA110" s="11"/>
    </row>
    <row r="111" spans="1:39" x14ac:dyDescent="0.3">
      <c r="D111" s="57"/>
      <c r="S111" s="10"/>
      <c r="T111" s="10"/>
      <c r="AA111" s="11"/>
    </row>
    <row r="112" spans="1:39" x14ac:dyDescent="0.3">
      <c r="D112" s="57"/>
      <c r="S112" s="10"/>
      <c r="T112" s="10"/>
      <c r="AA112" s="11"/>
    </row>
    <row r="113" spans="4:27" x14ac:dyDescent="0.3">
      <c r="D113" s="57"/>
      <c r="S113" s="10"/>
      <c r="T113" s="10"/>
      <c r="AA113" s="11"/>
    </row>
    <row r="114" spans="4:27" x14ac:dyDescent="0.3">
      <c r="D114" s="57"/>
      <c r="S114" s="10"/>
      <c r="T114" s="10"/>
      <c r="AA114" s="11"/>
    </row>
    <row r="115" spans="4:27" x14ac:dyDescent="0.3">
      <c r="D115" s="57"/>
      <c r="S115" s="10"/>
      <c r="T115" s="10"/>
      <c r="AA115" s="11"/>
    </row>
    <row r="116" spans="4:27" x14ac:dyDescent="0.3">
      <c r="D116" s="57"/>
      <c r="S116" s="10"/>
      <c r="T116" s="10"/>
      <c r="AA116" s="11"/>
    </row>
    <row r="117" spans="4:27" x14ac:dyDescent="0.3">
      <c r="D117" s="57"/>
      <c r="S117" s="10"/>
      <c r="T117" s="10"/>
      <c r="AA117" s="11"/>
    </row>
    <row r="118" spans="4:27" x14ac:dyDescent="0.3">
      <c r="D118" s="57"/>
      <c r="S118" s="10"/>
      <c r="T118" s="10"/>
      <c r="AA118" s="11"/>
    </row>
    <row r="119" spans="4:27" x14ac:dyDescent="0.3">
      <c r="D119" s="57"/>
      <c r="S119" s="10"/>
      <c r="T119" s="10"/>
      <c r="AA119" s="11"/>
    </row>
    <row r="120" spans="4:27" x14ac:dyDescent="0.3">
      <c r="D120" s="57"/>
      <c r="S120" s="10"/>
      <c r="T120" s="10"/>
      <c r="AA120" s="11"/>
    </row>
    <row r="121" spans="4:27" x14ac:dyDescent="0.3">
      <c r="D121" s="57"/>
      <c r="S121" s="10"/>
      <c r="T121" s="10"/>
      <c r="AA121" s="11"/>
    </row>
    <row r="122" spans="4:27" x14ac:dyDescent="0.3">
      <c r="D122" s="57"/>
      <c r="S122" s="10"/>
      <c r="T122" s="10"/>
      <c r="AA122" s="11"/>
    </row>
    <row r="123" spans="4:27" x14ac:dyDescent="0.3">
      <c r="D123" s="57"/>
      <c r="S123" s="10"/>
      <c r="T123" s="10"/>
      <c r="AA123" s="11"/>
    </row>
    <row r="124" spans="4:27" x14ac:dyDescent="0.3">
      <c r="D124" s="57"/>
      <c r="S124" s="10"/>
      <c r="T124" s="10"/>
      <c r="AA124" s="11"/>
    </row>
    <row r="125" spans="4:27" x14ac:dyDescent="0.3">
      <c r="D125" s="57"/>
      <c r="S125" s="10"/>
      <c r="T125" s="10"/>
      <c r="AA125" s="11"/>
    </row>
    <row r="126" spans="4:27" x14ac:dyDescent="0.3">
      <c r="D126" s="57"/>
      <c r="S126" s="10"/>
      <c r="T126" s="10"/>
      <c r="AA126" s="11"/>
    </row>
    <row r="127" spans="4:27" x14ac:dyDescent="0.3">
      <c r="D127" s="57"/>
      <c r="S127" s="10"/>
      <c r="T127" s="10"/>
      <c r="AA127" s="11"/>
    </row>
    <row r="128" spans="4:27" x14ac:dyDescent="0.3">
      <c r="D128" s="57"/>
      <c r="S128" s="10"/>
      <c r="T128" s="10"/>
      <c r="AA128" s="11"/>
    </row>
    <row r="129" spans="4:27" x14ac:dyDescent="0.3">
      <c r="D129" s="57"/>
      <c r="S129" s="10"/>
      <c r="T129" s="10"/>
      <c r="AA129" s="11"/>
    </row>
    <row r="130" spans="4:27" x14ac:dyDescent="0.3">
      <c r="D130" s="57"/>
      <c r="S130" s="10"/>
      <c r="T130" s="10"/>
      <c r="AA130" s="11"/>
    </row>
    <row r="131" spans="4:27" x14ac:dyDescent="0.3">
      <c r="D131" s="57"/>
      <c r="S131" s="10"/>
      <c r="T131" s="10"/>
      <c r="AA131" s="11"/>
    </row>
    <row r="132" spans="4:27" x14ac:dyDescent="0.3">
      <c r="D132" s="57"/>
      <c r="S132" s="10"/>
      <c r="T132" s="10"/>
      <c r="AA132" s="11"/>
    </row>
    <row r="133" spans="4:27" x14ac:dyDescent="0.3">
      <c r="D133" s="57"/>
      <c r="S133" s="10"/>
      <c r="T133" s="10"/>
      <c r="AA133" s="11"/>
    </row>
    <row r="134" spans="4:27" x14ac:dyDescent="0.3">
      <c r="D134" s="57"/>
      <c r="S134" s="10"/>
      <c r="T134" s="10"/>
      <c r="AA134" s="11"/>
    </row>
    <row r="135" spans="4:27" x14ac:dyDescent="0.3">
      <c r="D135" s="57"/>
      <c r="S135" s="10"/>
      <c r="T135" s="10"/>
      <c r="AA135" s="11"/>
    </row>
    <row r="136" spans="4:27" x14ac:dyDescent="0.3">
      <c r="D136" s="57"/>
      <c r="S136" s="10"/>
      <c r="T136" s="10"/>
      <c r="AA136" s="11"/>
    </row>
    <row r="137" spans="4:27" x14ac:dyDescent="0.3">
      <c r="D137" s="57"/>
      <c r="S137" s="10"/>
      <c r="T137" s="10"/>
      <c r="AA137" s="11"/>
    </row>
    <row r="138" spans="4:27" x14ac:dyDescent="0.3">
      <c r="D138" s="57"/>
      <c r="S138" s="10"/>
      <c r="T138" s="10"/>
      <c r="AA138" s="11"/>
    </row>
    <row r="139" spans="4:27" x14ac:dyDescent="0.3">
      <c r="D139" s="57"/>
      <c r="S139" s="10"/>
      <c r="T139" s="10"/>
      <c r="AA139" s="11"/>
    </row>
    <row r="140" spans="4:27" x14ac:dyDescent="0.3">
      <c r="D140" s="57"/>
      <c r="S140" s="10"/>
      <c r="T140" s="10"/>
      <c r="AA140" s="11"/>
    </row>
    <row r="141" spans="4:27" x14ac:dyDescent="0.3">
      <c r="D141" s="57"/>
      <c r="S141" s="10"/>
      <c r="T141" s="10"/>
      <c r="AA141" s="11"/>
    </row>
    <row r="142" spans="4:27" x14ac:dyDescent="0.3">
      <c r="D142" s="57"/>
      <c r="S142" s="10"/>
      <c r="T142" s="10"/>
      <c r="AA142" s="11"/>
    </row>
    <row r="143" spans="4:27" x14ac:dyDescent="0.3">
      <c r="D143" s="57"/>
      <c r="S143" s="10"/>
      <c r="T143" s="10"/>
      <c r="AA143" s="11"/>
    </row>
    <row r="144" spans="4:27" x14ac:dyDescent="0.3">
      <c r="D144" s="57"/>
      <c r="S144" s="10"/>
      <c r="T144" s="10"/>
      <c r="AA144" s="11"/>
    </row>
    <row r="145" spans="4:27" x14ac:dyDescent="0.3">
      <c r="D145" s="57"/>
      <c r="S145" s="10"/>
      <c r="T145" s="10"/>
      <c r="AA145" s="11"/>
    </row>
    <row r="146" spans="4:27" x14ac:dyDescent="0.3">
      <c r="D146" s="57"/>
      <c r="S146" s="10"/>
      <c r="T146" s="10"/>
      <c r="AA146" s="11"/>
    </row>
    <row r="147" spans="4:27" x14ac:dyDescent="0.3">
      <c r="D147" s="57"/>
      <c r="S147" s="10"/>
      <c r="T147" s="10"/>
      <c r="AA147" s="11"/>
    </row>
    <row r="148" spans="4:27" x14ac:dyDescent="0.3">
      <c r="D148" s="57"/>
      <c r="S148" s="10"/>
      <c r="T148" s="10"/>
      <c r="AA148" s="11"/>
    </row>
    <row r="149" spans="4:27" x14ac:dyDescent="0.3">
      <c r="D149" s="57"/>
      <c r="S149" s="10"/>
      <c r="T149" s="10"/>
      <c r="AA149" s="11"/>
    </row>
    <row r="150" spans="4:27" x14ac:dyDescent="0.3">
      <c r="D150" s="57"/>
      <c r="S150" s="10"/>
      <c r="T150" s="10"/>
      <c r="AA150" s="11"/>
    </row>
    <row r="151" spans="4:27" x14ac:dyDescent="0.3">
      <c r="D151" s="57"/>
      <c r="S151" s="10"/>
      <c r="T151" s="10"/>
      <c r="AA151" s="11"/>
    </row>
    <row r="152" spans="4:27" x14ac:dyDescent="0.3">
      <c r="D152" s="57"/>
      <c r="S152" s="10"/>
      <c r="T152" s="10"/>
      <c r="AA152" s="11"/>
    </row>
    <row r="153" spans="4:27" x14ac:dyDescent="0.3">
      <c r="D153" s="57"/>
      <c r="S153" s="10"/>
      <c r="T153" s="10"/>
      <c r="AA153" s="11"/>
    </row>
    <row r="154" spans="4:27" x14ac:dyDescent="0.3">
      <c r="D154" s="57"/>
      <c r="S154" s="10"/>
      <c r="T154" s="10"/>
      <c r="AA154" s="11"/>
    </row>
    <row r="155" spans="4:27" x14ac:dyDescent="0.3">
      <c r="D155" s="57"/>
      <c r="S155" s="10"/>
      <c r="T155" s="10"/>
      <c r="AA155" s="11"/>
    </row>
    <row r="156" spans="4:27" x14ac:dyDescent="0.3">
      <c r="D156" s="57"/>
      <c r="S156" s="10"/>
      <c r="T156" s="10"/>
      <c r="AA156" s="11"/>
    </row>
    <row r="157" spans="4:27" x14ac:dyDescent="0.3">
      <c r="D157" s="57"/>
      <c r="S157" s="10"/>
      <c r="T157" s="10"/>
      <c r="AA157" s="11"/>
    </row>
    <row r="158" spans="4:27" x14ac:dyDescent="0.3">
      <c r="D158" s="57"/>
      <c r="S158" s="10"/>
      <c r="T158" s="10"/>
      <c r="AA158" s="11"/>
    </row>
    <row r="159" spans="4:27" x14ac:dyDescent="0.3">
      <c r="D159" s="57"/>
      <c r="S159" s="10"/>
      <c r="T159" s="10"/>
      <c r="AA159" s="11"/>
    </row>
    <row r="160" spans="4:27" x14ac:dyDescent="0.3">
      <c r="D160" s="57"/>
      <c r="S160" s="10"/>
      <c r="T160" s="10"/>
      <c r="AA160" s="11"/>
    </row>
    <row r="161" spans="4:27" x14ac:dyDescent="0.3">
      <c r="D161" s="57"/>
      <c r="S161" s="10"/>
      <c r="T161" s="10"/>
      <c r="AA161" s="11"/>
    </row>
    <row r="162" spans="4:27" x14ac:dyDescent="0.3">
      <c r="D162" s="57"/>
      <c r="S162" s="10"/>
      <c r="T162" s="10"/>
      <c r="AA162" s="11"/>
    </row>
    <row r="163" spans="4:27" x14ac:dyDescent="0.3">
      <c r="D163" s="57"/>
      <c r="S163" s="10"/>
      <c r="T163" s="10"/>
      <c r="AA163" s="11"/>
    </row>
    <row r="164" spans="4:27" x14ac:dyDescent="0.3">
      <c r="D164" s="57"/>
      <c r="S164" s="10"/>
      <c r="T164" s="10"/>
      <c r="AA164" s="11"/>
    </row>
    <row r="165" spans="4:27" x14ac:dyDescent="0.3">
      <c r="D165" s="57"/>
      <c r="S165" s="10"/>
      <c r="T165" s="10"/>
      <c r="AA165" s="11"/>
    </row>
    <row r="166" spans="4:27" x14ac:dyDescent="0.3">
      <c r="D166" s="57"/>
      <c r="S166" s="10"/>
      <c r="T166" s="10"/>
      <c r="AA166" s="11"/>
    </row>
    <row r="167" spans="4:27" x14ac:dyDescent="0.3">
      <c r="D167" s="57"/>
      <c r="S167" s="10"/>
      <c r="T167" s="10"/>
      <c r="AA167" s="11"/>
    </row>
    <row r="168" spans="4:27" x14ac:dyDescent="0.3">
      <c r="D168" s="57"/>
      <c r="S168" s="10"/>
      <c r="T168" s="10"/>
      <c r="AA168" s="11"/>
    </row>
    <row r="169" spans="4:27" x14ac:dyDescent="0.3">
      <c r="D169" s="57"/>
      <c r="S169" s="10"/>
      <c r="T169" s="10"/>
      <c r="AA169" s="11"/>
    </row>
    <row r="170" spans="4:27" x14ac:dyDescent="0.3">
      <c r="D170" s="57"/>
      <c r="S170" s="10"/>
      <c r="T170" s="10"/>
      <c r="AA170" s="11"/>
    </row>
    <row r="171" spans="4:27" x14ac:dyDescent="0.3">
      <c r="D171" s="57"/>
      <c r="S171" s="10"/>
      <c r="T171" s="10"/>
      <c r="AA171" s="11"/>
    </row>
    <row r="172" spans="4:27" x14ac:dyDescent="0.3">
      <c r="D172" s="57"/>
      <c r="S172" s="10"/>
      <c r="T172" s="10"/>
      <c r="AA172" s="11"/>
    </row>
    <row r="173" spans="4:27" x14ac:dyDescent="0.3">
      <c r="D173" s="57"/>
      <c r="S173" s="10"/>
      <c r="T173" s="10"/>
      <c r="AA173" s="11"/>
    </row>
    <row r="174" spans="4:27" x14ac:dyDescent="0.3">
      <c r="D174" s="57"/>
      <c r="S174" s="10"/>
      <c r="T174" s="10"/>
      <c r="AA174" s="11"/>
    </row>
    <row r="175" spans="4:27" x14ac:dyDescent="0.3">
      <c r="D175" s="57"/>
      <c r="S175" s="10"/>
      <c r="T175" s="10"/>
      <c r="AA175" s="11"/>
    </row>
    <row r="176" spans="4:27" x14ac:dyDescent="0.3">
      <c r="D176" s="57"/>
      <c r="S176" s="10"/>
      <c r="T176" s="10"/>
      <c r="AA176" s="11"/>
    </row>
    <row r="177" spans="4:27" x14ac:dyDescent="0.3">
      <c r="D177" s="57"/>
      <c r="S177" s="10"/>
      <c r="T177" s="10"/>
      <c r="AA177" s="11"/>
    </row>
    <row r="178" spans="4:27" x14ac:dyDescent="0.3">
      <c r="D178" s="57"/>
      <c r="S178" s="10"/>
      <c r="T178" s="10"/>
      <c r="AA178" s="11"/>
    </row>
    <row r="179" spans="4:27" x14ac:dyDescent="0.3">
      <c r="D179" s="57"/>
      <c r="S179" s="10"/>
      <c r="T179" s="10"/>
      <c r="AA179" s="11"/>
    </row>
    <row r="180" spans="4:27" x14ac:dyDescent="0.3">
      <c r="D180" s="57"/>
      <c r="S180" s="10"/>
      <c r="T180" s="10"/>
      <c r="AA180" s="11"/>
    </row>
    <row r="181" spans="4:27" x14ac:dyDescent="0.3">
      <c r="D181" s="57"/>
      <c r="S181" s="10"/>
      <c r="T181" s="10"/>
      <c r="AA181" s="11"/>
    </row>
    <row r="182" spans="4:27" x14ac:dyDescent="0.3">
      <c r="D182" s="57"/>
      <c r="S182" s="10"/>
      <c r="T182" s="10"/>
      <c r="AA182" s="11"/>
    </row>
    <row r="183" spans="4:27" x14ac:dyDescent="0.3">
      <c r="D183" s="57"/>
      <c r="S183" s="10"/>
      <c r="T183" s="10"/>
      <c r="AA183" s="11"/>
    </row>
    <row r="184" spans="4:27" x14ac:dyDescent="0.3">
      <c r="D184" s="57"/>
      <c r="S184" s="10"/>
      <c r="T184" s="10"/>
      <c r="AA184" s="11"/>
    </row>
    <row r="185" spans="4:27" x14ac:dyDescent="0.3">
      <c r="D185" s="57"/>
      <c r="S185" s="10"/>
      <c r="T185" s="10"/>
      <c r="AA185" s="11"/>
    </row>
    <row r="186" spans="4:27" x14ac:dyDescent="0.3">
      <c r="D186" s="57"/>
      <c r="S186" s="10"/>
      <c r="T186" s="10"/>
      <c r="AA186" s="11"/>
    </row>
    <row r="187" spans="4:27" x14ac:dyDescent="0.3">
      <c r="D187" s="57"/>
      <c r="S187" s="10"/>
      <c r="T187" s="10"/>
      <c r="AA187" s="11"/>
    </row>
    <row r="188" spans="4:27" x14ac:dyDescent="0.3">
      <c r="D188" s="57"/>
      <c r="S188" s="10"/>
      <c r="T188" s="10"/>
      <c r="AA188" s="11"/>
    </row>
    <row r="189" spans="4:27" x14ac:dyDescent="0.3">
      <c r="D189" s="57"/>
      <c r="S189" s="10"/>
      <c r="T189" s="10"/>
      <c r="AA189" s="11"/>
    </row>
    <row r="190" spans="4:27" x14ac:dyDescent="0.3">
      <c r="D190" s="57"/>
      <c r="S190" s="10"/>
      <c r="T190" s="10"/>
      <c r="AA190" s="11"/>
    </row>
    <row r="191" spans="4:27" x14ac:dyDescent="0.3">
      <c r="D191" s="57"/>
      <c r="S191" s="10"/>
      <c r="T191" s="10"/>
      <c r="AA191" s="11"/>
    </row>
    <row r="192" spans="4:27" x14ac:dyDescent="0.3">
      <c r="D192" s="57"/>
      <c r="S192" s="10"/>
      <c r="T192" s="10"/>
      <c r="AA192" s="11"/>
    </row>
    <row r="193" spans="4:27" x14ac:dyDescent="0.3">
      <c r="D193" s="57"/>
      <c r="S193" s="10"/>
      <c r="T193" s="10"/>
      <c r="AA193" s="11"/>
    </row>
    <row r="194" spans="4:27" x14ac:dyDescent="0.3">
      <c r="D194" s="57"/>
      <c r="S194" s="10"/>
      <c r="T194" s="10"/>
      <c r="AA194" s="11"/>
    </row>
    <row r="195" spans="4:27" x14ac:dyDescent="0.3">
      <c r="D195" s="57"/>
      <c r="S195" s="10"/>
      <c r="T195" s="10"/>
      <c r="AA195" s="11"/>
    </row>
    <row r="196" spans="4:27" x14ac:dyDescent="0.3">
      <c r="D196" s="57"/>
      <c r="S196" s="10"/>
      <c r="T196" s="10"/>
      <c r="AA196" s="11"/>
    </row>
    <row r="197" spans="4:27" x14ac:dyDescent="0.3">
      <c r="D197" s="57"/>
      <c r="S197" s="10"/>
      <c r="T197" s="10"/>
      <c r="AA197" s="11"/>
    </row>
    <row r="198" spans="4:27" x14ac:dyDescent="0.3">
      <c r="D198" s="57"/>
      <c r="S198" s="10"/>
      <c r="T198" s="10"/>
      <c r="AA198" s="11"/>
    </row>
    <row r="199" spans="4:27" x14ac:dyDescent="0.3">
      <c r="D199" s="57"/>
      <c r="S199" s="10"/>
      <c r="T199" s="10"/>
      <c r="AA199" s="11"/>
    </row>
    <row r="200" spans="4:27" x14ac:dyDescent="0.3">
      <c r="D200" s="57"/>
      <c r="S200" s="10"/>
      <c r="T200" s="10"/>
      <c r="AA200" s="11"/>
    </row>
    <row r="201" spans="4:27" x14ac:dyDescent="0.3">
      <c r="D201" s="57"/>
      <c r="S201" s="10"/>
      <c r="T201" s="10"/>
      <c r="AA201" s="11"/>
    </row>
    <row r="202" spans="4:27" x14ac:dyDescent="0.3">
      <c r="D202" s="57"/>
      <c r="S202" s="10"/>
      <c r="T202" s="10"/>
      <c r="AA202" s="11"/>
    </row>
    <row r="203" spans="4:27" x14ac:dyDescent="0.3">
      <c r="D203" s="57"/>
      <c r="S203" s="10"/>
      <c r="T203" s="10"/>
      <c r="AA203" s="11"/>
    </row>
    <row r="204" spans="4:27" x14ac:dyDescent="0.3">
      <c r="D204" s="57"/>
      <c r="S204" s="10"/>
      <c r="T204" s="10"/>
      <c r="AA204" s="11"/>
    </row>
    <row r="205" spans="4:27" x14ac:dyDescent="0.3">
      <c r="D205" s="57"/>
      <c r="S205" s="10"/>
      <c r="T205" s="10"/>
      <c r="AA205" s="11"/>
    </row>
    <row r="206" spans="4:27" x14ac:dyDescent="0.3">
      <c r="D206" s="57"/>
      <c r="S206" s="10"/>
      <c r="T206" s="10"/>
      <c r="AA206" s="11"/>
    </row>
    <row r="207" spans="4:27" x14ac:dyDescent="0.3">
      <c r="D207" s="57"/>
      <c r="S207" s="10"/>
      <c r="T207" s="10"/>
      <c r="AA207" s="11"/>
    </row>
    <row r="208" spans="4:27" x14ac:dyDescent="0.3">
      <c r="D208" s="57"/>
      <c r="S208" s="10"/>
      <c r="T208" s="10"/>
      <c r="AA208" s="11"/>
    </row>
    <row r="209" spans="4:27" x14ac:dyDescent="0.3">
      <c r="D209" s="57"/>
      <c r="S209" s="10"/>
      <c r="T209" s="10"/>
      <c r="AA209" s="11"/>
    </row>
    <row r="210" spans="4:27" x14ac:dyDescent="0.3">
      <c r="D210" s="57"/>
      <c r="S210" s="10"/>
      <c r="T210" s="10"/>
      <c r="AA210" s="11"/>
    </row>
    <row r="211" spans="4:27" x14ac:dyDescent="0.3">
      <c r="D211" s="57"/>
      <c r="S211" s="10"/>
      <c r="T211" s="10"/>
      <c r="AA211" s="11"/>
    </row>
    <row r="212" spans="4:27" x14ac:dyDescent="0.3">
      <c r="D212" s="57"/>
      <c r="S212" s="10"/>
      <c r="T212" s="10"/>
      <c r="AA212" s="11"/>
    </row>
    <row r="213" spans="4:27" x14ac:dyDescent="0.3">
      <c r="D213" s="57"/>
      <c r="S213" s="10"/>
      <c r="T213" s="10"/>
      <c r="AA213" s="11"/>
    </row>
    <row r="214" spans="4:27" x14ac:dyDescent="0.3">
      <c r="D214" s="57"/>
      <c r="S214" s="10"/>
      <c r="T214" s="10"/>
      <c r="AA214" s="11"/>
    </row>
    <row r="215" spans="4:27" x14ac:dyDescent="0.3">
      <c r="D215" s="57"/>
      <c r="S215" s="10"/>
      <c r="T215" s="10"/>
      <c r="AA215" s="11"/>
    </row>
    <row r="216" spans="4:27" x14ac:dyDescent="0.3">
      <c r="D216" s="57"/>
      <c r="S216" s="10"/>
      <c r="T216" s="10"/>
      <c r="AA216" s="11"/>
    </row>
    <row r="217" spans="4:27" x14ac:dyDescent="0.3">
      <c r="D217" s="57"/>
      <c r="S217" s="10"/>
      <c r="T217" s="10"/>
      <c r="AA217" s="11"/>
    </row>
    <row r="218" spans="4:27" x14ac:dyDescent="0.3">
      <c r="D218" s="57"/>
      <c r="S218" s="10"/>
      <c r="T218" s="10"/>
      <c r="AA218" s="11"/>
    </row>
    <row r="219" spans="4:27" x14ac:dyDescent="0.3">
      <c r="D219" s="57"/>
      <c r="S219" s="10"/>
      <c r="T219" s="10"/>
      <c r="AA219" s="11"/>
    </row>
    <row r="220" spans="4:27" x14ac:dyDescent="0.3">
      <c r="D220" s="57"/>
      <c r="S220" s="10"/>
      <c r="T220" s="10"/>
      <c r="AA220" s="11"/>
    </row>
    <row r="221" spans="4:27" x14ac:dyDescent="0.3">
      <c r="D221" s="57"/>
      <c r="S221" s="10"/>
      <c r="T221" s="10"/>
      <c r="AA221" s="11"/>
    </row>
    <row r="222" spans="4:27" x14ac:dyDescent="0.3">
      <c r="D222" s="57"/>
      <c r="S222" s="10"/>
      <c r="T222" s="10"/>
      <c r="AA222" s="11"/>
    </row>
    <row r="223" spans="4:27" x14ac:dyDescent="0.3">
      <c r="D223" s="57"/>
      <c r="S223" s="10"/>
      <c r="T223" s="10"/>
      <c r="AA223" s="11"/>
    </row>
    <row r="224" spans="4:27" x14ac:dyDescent="0.3">
      <c r="D224" s="57"/>
      <c r="S224" s="10"/>
      <c r="T224" s="10"/>
      <c r="AA224" s="11"/>
    </row>
    <row r="225" spans="4:27" x14ac:dyDescent="0.3">
      <c r="D225" s="57"/>
      <c r="S225" s="10"/>
      <c r="T225" s="10"/>
      <c r="AA225" s="11"/>
    </row>
    <row r="226" spans="4:27" x14ac:dyDescent="0.3">
      <c r="D226" s="57"/>
      <c r="S226" s="10"/>
      <c r="T226" s="10"/>
      <c r="AA226" s="11"/>
    </row>
    <row r="227" spans="4:27" x14ac:dyDescent="0.3">
      <c r="D227" s="57"/>
      <c r="S227" s="10"/>
      <c r="T227" s="10"/>
      <c r="AA227" s="11"/>
    </row>
    <row r="228" spans="4:27" x14ac:dyDescent="0.3">
      <c r="D228" s="57"/>
      <c r="S228" s="10"/>
      <c r="T228" s="10"/>
      <c r="AA228" s="11"/>
    </row>
    <row r="229" spans="4:27" x14ac:dyDescent="0.3">
      <c r="D229" s="57"/>
      <c r="S229" s="10"/>
      <c r="T229" s="10"/>
      <c r="AA229" s="11"/>
    </row>
    <row r="230" spans="4:27" x14ac:dyDescent="0.3">
      <c r="D230" s="57"/>
      <c r="S230" s="10"/>
      <c r="T230" s="10"/>
      <c r="AA230" s="11"/>
    </row>
    <row r="231" spans="4:27" x14ac:dyDescent="0.3">
      <c r="D231" s="57"/>
      <c r="S231" s="10"/>
      <c r="T231" s="10"/>
      <c r="AA231" s="11"/>
    </row>
    <row r="232" spans="4:27" x14ac:dyDescent="0.3">
      <c r="D232" s="57"/>
      <c r="S232" s="10"/>
      <c r="T232" s="10"/>
      <c r="AA232" s="11"/>
    </row>
    <row r="233" spans="4:27" x14ac:dyDescent="0.3">
      <c r="D233" s="57"/>
      <c r="S233" s="10"/>
      <c r="T233" s="10"/>
      <c r="AA233" s="11"/>
    </row>
    <row r="234" spans="4:27" x14ac:dyDescent="0.3">
      <c r="D234" s="57"/>
      <c r="S234" s="10"/>
      <c r="T234" s="10"/>
      <c r="AA234" s="11"/>
    </row>
    <row r="235" spans="4:27" x14ac:dyDescent="0.3">
      <c r="D235" s="57"/>
      <c r="S235" s="10"/>
      <c r="T235" s="10"/>
      <c r="AA235" s="11"/>
    </row>
    <row r="236" spans="4:27" x14ac:dyDescent="0.3">
      <c r="D236" s="57"/>
      <c r="S236" s="10"/>
      <c r="T236" s="10"/>
      <c r="AA236" s="11"/>
    </row>
    <row r="237" spans="4:27" x14ac:dyDescent="0.3">
      <c r="D237" s="57"/>
      <c r="S237" s="10"/>
      <c r="T237" s="10"/>
      <c r="AA237" s="11"/>
    </row>
    <row r="238" spans="4:27" x14ac:dyDescent="0.3">
      <c r="D238" s="57"/>
      <c r="S238" s="10"/>
      <c r="T238" s="10"/>
      <c r="AA238" s="11"/>
    </row>
    <row r="239" spans="4:27" x14ac:dyDescent="0.3">
      <c r="D239" s="57"/>
      <c r="S239" s="10"/>
      <c r="T239" s="10"/>
      <c r="AA239" s="11"/>
    </row>
    <row r="240" spans="4:27" x14ac:dyDescent="0.3">
      <c r="D240" s="57"/>
      <c r="S240" s="10"/>
      <c r="T240" s="10"/>
      <c r="AA240" s="11"/>
    </row>
    <row r="241" spans="4:27" x14ac:dyDescent="0.3">
      <c r="D241" s="57"/>
      <c r="S241" s="10"/>
      <c r="T241" s="10"/>
      <c r="AA241" s="11"/>
    </row>
    <row r="242" spans="4:27" x14ac:dyDescent="0.3">
      <c r="D242" s="57"/>
      <c r="S242" s="10"/>
      <c r="T242" s="10"/>
      <c r="AA242" s="11"/>
    </row>
    <row r="243" spans="4:27" x14ac:dyDescent="0.3">
      <c r="D243" s="57"/>
      <c r="S243" s="10"/>
      <c r="T243" s="10"/>
      <c r="AA243" s="11"/>
    </row>
    <row r="244" spans="4:27" x14ac:dyDescent="0.3">
      <c r="D244" s="57"/>
      <c r="S244" s="10"/>
      <c r="T244" s="10"/>
      <c r="AA244" s="11"/>
    </row>
    <row r="245" spans="4:27" x14ac:dyDescent="0.3">
      <c r="D245" s="57"/>
      <c r="S245" s="10"/>
      <c r="T245" s="10"/>
      <c r="AA245" s="11"/>
    </row>
    <row r="246" spans="4:27" x14ac:dyDescent="0.3">
      <c r="D246" s="57"/>
      <c r="S246" s="10"/>
      <c r="T246" s="10"/>
      <c r="AA246" s="11"/>
    </row>
    <row r="247" spans="4:27" x14ac:dyDescent="0.3">
      <c r="D247" s="57"/>
      <c r="S247" s="10"/>
      <c r="T247" s="10"/>
      <c r="AA247" s="11"/>
    </row>
    <row r="248" spans="4:27" x14ac:dyDescent="0.3">
      <c r="D248" s="57"/>
      <c r="S248" s="10"/>
      <c r="T248" s="10"/>
      <c r="AA248" s="11"/>
    </row>
    <row r="249" spans="4:27" x14ac:dyDescent="0.3">
      <c r="D249" s="57"/>
      <c r="S249" s="10"/>
      <c r="T249" s="10"/>
      <c r="AA249" s="11"/>
    </row>
    <row r="250" spans="4:27" x14ac:dyDescent="0.3">
      <c r="D250" s="57"/>
      <c r="S250" s="10"/>
      <c r="T250" s="10"/>
      <c r="AA250" s="11"/>
    </row>
    <row r="251" spans="4:27" x14ac:dyDescent="0.3">
      <c r="D251" s="57"/>
      <c r="S251" s="10"/>
      <c r="T251" s="10"/>
      <c r="AA251" s="11"/>
    </row>
    <row r="252" spans="4:27" x14ac:dyDescent="0.3">
      <c r="D252" s="57"/>
      <c r="S252" s="10"/>
      <c r="T252" s="10"/>
      <c r="AA252" s="11"/>
    </row>
    <row r="253" spans="4:27" x14ac:dyDescent="0.3">
      <c r="D253" s="57"/>
      <c r="S253" s="10"/>
      <c r="T253" s="10"/>
      <c r="AA253" s="11"/>
    </row>
    <row r="254" spans="4:27" x14ac:dyDescent="0.3">
      <c r="D254" s="57"/>
      <c r="S254" s="10"/>
      <c r="T254" s="10"/>
      <c r="AA254" s="11"/>
    </row>
    <row r="255" spans="4:27" x14ac:dyDescent="0.3">
      <c r="D255" s="57"/>
      <c r="S255" s="10"/>
      <c r="T255" s="10"/>
      <c r="AA255" s="11"/>
    </row>
    <row r="256" spans="4:27" x14ac:dyDescent="0.3">
      <c r="D256" s="57"/>
      <c r="S256" s="10"/>
      <c r="T256" s="10"/>
      <c r="AA256" s="11"/>
    </row>
    <row r="257" spans="4:27" x14ac:dyDescent="0.3">
      <c r="D257" s="57"/>
      <c r="S257" s="10"/>
      <c r="T257" s="10"/>
      <c r="AA257" s="11"/>
    </row>
    <row r="258" spans="4:27" x14ac:dyDescent="0.3">
      <c r="D258" s="57"/>
      <c r="S258" s="10"/>
      <c r="T258" s="10"/>
      <c r="AA258" s="11"/>
    </row>
    <row r="259" spans="4:27" x14ac:dyDescent="0.3">
      <c r="D259" s="57"/>
      <c r="S259" s="10"/>
      <c r="T259" s="10"/>
      <c r="AA259" s="11"/>
    </row>
    <row r="260" spans="4:27" x14ac:dyDescent="0.3">
      <c r="D260" s="57"/>
      <c r="S260" s="10"/>
      <c r="T260" s="10"/>
      <c r="AA260" s="11"/>
    </row>
    <row r="261" spans="4:27" x14ac:dyDescent="0.3">
      <c r="D261" s="57"/>
      <c r="S261" s="10"/>
      <c r="T261" s="10"/>
      <c r="AA261" s="11"/>
    </row>
    <row r="262" spans="4:27" x14ac:dyDescent="0.3">
      <c r="D262" s="57"/>
      <c r="S262" s="10"/>
      <c r="T262" s="10"/>
      <c r="AA262" s="11"/>
    </row>
    <row r="263" spans="4:27" x14ac:dyDescent="0.3">
      <c r="D263" s="57"/>
      <c r="S263" s="10"/>
      <c r="T263" s="10"/>
      <c r="AA263" s="11"/>
    </row>
    <row r="264" spans="4:27" x14ac:dyDescent="0.3">
      <c r="D264" s="57"/>
      <c r="S264" s="10"/>
      <c r="T264" s="10"/>
      <c r="AA264" s="11"/>
    </row>
    <row r="265" spans="4:27" x14ac:dyDescent="0.3">
      <c r="D265" s="57"/>
      <c r="S265" s="10"/>
      <c r="T265" s="10"/>
      <c r="AA265" s="11"/>
    </row>
    <row r="266" spans="4:27" x14ac:dyDescent="0.3">
      <c r="D266" s="57"/>
      <c r="S266" s="10"/>
      <c r="T266" s="10"/>
      <c r="AA266" s="11"/>
    </row>
    <row r="267" spans="4:27" x14ac:dyDescent="0.3">
      <c r="D267" s="57"/>
      <c r="S267" s="10"/>
      <c r="T267" s="10"/>
      <c r="AA267" s="11"/>
    </row>
    <row r="268" spans="4:27" x14ac:dyDescent="0.3">
      <c r="D268" s="57"/>
      <c r="S268" s="10"/>
      <c r="T268" s="10"/>
      <c r="AA268" s="11"/>
    </row>
    <row r="269" spans="4:27" x14ac:dyDescent="0.3">
      <c r="D269" s="57"/>
      <c r="S269" s="10"/>
      <c r="T269" s="10"/>
      <c r="AA269" s="11"/>
    </row>
    <row r="270" spans="4:27" x14ac:dyDescent="0.3">
      <c r="D270" s="57"/>
      <c r="S270" s="10"/>
      <c r="T270" s="10"/>
      <c r="AA270" s="11"/>
    </row>
    <row r="271" spans="4:27" x14ac:dyDescent="0.3">
      <c r="D271" s="57"/>
      <c r="S271" s="10"/>
      <c r="T271" s="10"/>
      <c r="AA271" s="11"/>
    </row>
    <row r="272" spans="4:27" x14ac:dyDescent="0.3">
      <c r="D272" s="57"/>
      <c r="S272" s="10"/>
      <c r="T272" s="10"/>
      <c r="AA272" s="11"/>
    </row>
    <row r="273" spans="4:27" x14ac:dyDescent="0.3">
      <c r="D273" s="57"/>
      <c r="S273" s="10"/>
      <c r="T273" s="10"/>
      <c r="AA273" s="11"/>
    </row>
    <row r="274" spans="4:27" x14ac:dyDescent="0.3">
      <c r="D274" s="57"/>
      <c r="S274" s="10"/>
      <c r="T274" s="10"/>
      <c r="AA274" s="11"/>
    </row>
    <row r="275" spans="4:27" x14ac:dyDescent="0.3">
      <c r="D275" s="57"/>
      <c r="S275" s="10"/>
      <c r="T275" s="10"/>
      <c r="AA275" s="11"/>
    </row>
    <row r="276" spans="4:27" x14ac:dyDescent="0.3">
      <c r="D276" s="57"/>
      <c r="S276" s="10"/>
      <c r="T276" s="10"/>
      <c r="AA276" s="11"/>
    </row>
    <row r="277" spans="4:27" x14ac:dyDescent="0.3">
      <c r="D277" s="57"/>
      <c r="S277" s="10"/>
      <c r="T277" s="10"/>
      <c r="AA277" s="11"/>
    </row>
    <row r="278" spans="4:27" x14ac:dyDescent="0.3">
      <c r="D278" s="57"/>
      <c r="S278" s="10"/>
      <c r="T278" s="10"/>
      <c r="AA278" s="11"/>
    </row>
    <row r="279" spans="4:27" x14ac:dyDescent="0.3">
      <c r="D279" s="57"/>
      <c r="S279" s="10"/>
      <c r="T279" s="10"/>
      <c r="AA279" s="11"/>
    </row>
    <row r="280" spans="4:27" x14ac:dyDescent="0.3">
      <c r="D280" s="57"/>
      <c r="S280" s="10"/>
      <c r="T280" s="10"/>
      <c r="AA280" s="11"/>
    </row>
    <row r="281" spans="4:27" x14ac:dyDescent="0.3">
      <c r="D281" s="57"/>
      <c r="S281" s="10"/>
      <c r="T281" s="10"/>
      <c r="AA281" s="11"/>
    </row>
    <row r="282" spans="4:27" x14ac:dyDescent="0.3">
      <c r="D282" s="57"/>
      <c r="S282" s="10"/>
      <c r="T282" s="10"/>
      <c r="AA282" s="11"/>
    </row>
    <row r="283" spans="4:27" x14ac:dyDescent="0.3">
      <c r="D283" s="57"/>
      <c r="S283" s="10"/>
      <c r="T283" s="10"/>
      <c r="AA283" s="11"/>
    </row>
    <row r="284" spans="4:27" x14ac:dyDescent="0.3">
      <c r="D284" s="57"/>
      <c r="S284" s="10"/>
      <c r="T284" s="10"/>
      <c r="AA284" s="11"/>
    </row>
    <row r="285" spans="4:27" x14ac:dyDescent="0.3">
      <c r="D285" s="57"/>
      <c r="S285" s="10"/>
      <c r="T285" s="10"/>
      <c r="AA285" s="11"/>
    </row>
    <row r="286" spans="4:27" x14ac:dyDescent="0.3">
      <c r="D286" s="57"/>
      <c r="S286" s="10"/>
      <c r="T286" s="10"/>
      <c r="AA286" s="11"/>
    </row>
    <row r="287" spans="4:27" x14ac:dyDescent="0.3">
      <c r="D287" s="57"/>
      <c r="S287" s="10"/>
      <c r="T287" s="10"/>
      <c r="AA287" s="11"/>
    </row>
    <row r="288" spans="4:27" x14ac:dyDescent="0.3">
      <c r="D288" s="57"/>
      <c r="S288" s="10"/>
      <c r="T288" s="10"/>
      <c r="AA288" s="11"/>
    </row>
    <row r="289" spans="4:27" x14ac:dyDescent="0.3">
      <c r="D289" s="57"/>
      <c r="S289" s="10"/>
      <c r="T289" s="10"/>
      <c r="AA289" s="11"/>
    </row>
    <row r="290" spans="4:27" x14ac:dyDescent="0.3">
      <c r="D290" s="57"/>
      <c r="S290" s="10"/>
      <c r="T290" s="10"/>
      <c r="AA290" s="11"/>
    </row>
    <row r="291" spans="4:27" x14ac:dyDescent="0.3">
      <c r="D291" s="57"/>
      <c r="S291" s="10"/>
      <c r="T291" s="10"/>
      <c r="AA291" s="11"/>
    </row>
    <row r="292" spans="4:27" x14ac:dyDescent="0.3">
      <c r="D292" s="57"/>
      <c r="S292" s="10"/>
      <c r="T292" s="10"/>
      <c r="AA292" s="11"/>
    </row>
    <row r="293" spans="4:27" x14ac:dyDescent="0.3">
      <c r="D293" s="57"/>
      <c r="S293" s="10"/>
      <c r="T293" s="10"/>
      <c r="AA293" s="11"/>
    </row>
    <row r="294" spans="4:27" x14ac:dyDescent="0.3">
      <c r="D294" s="57"/>
      <c r="S294" s="10"/>
      <c r="T294" s="10"/>
      <c r="AA294" s="11"/>
    </row>
    <row r="295" spans="4:27" x14ac:dyDescent="0.3">
      <c r="D295" s="57"/>
      <c r="S295" s="10"/>
      <c r="T295" s="10"/>
      <c r="AA295" s="11"/>
    </row>
    <row r="296" spans="4:27" x14ac:dyDescent="0.3">
      <c r="D296" s="57"/>
      <c r="S296" s="10"/>
      <c r="T296" s="10"/>
      <c r="AA296" s="11"/>
    </row>
    <row r="297" spans="4:27" x14ac:dyDescent="0.3">
      <c r="D297" s="57"/>
      <c r="S297" s="10"/>
      <c r="T297" s="10"/>
      <c r="AA297" s="11"/>
    </row>
    <row r="298" spans="4:27" x14ac:dyDescent="0.3">
      <c r="D298" s="57"/>
      <c r="S298" s="10"/>
      <c r="T298" s="10"/>
      <c r="AA298" s="11"/>
    </row>
    <row r="299" spans="4:27" x14ac:dyDescent="0.3">
      <c r="D299" s="57"/>
      <c r="S299" s="10"/>
      <c r="T299" s="10"/>
      <c r="AA299" s="11"/>
    </row>
    <row r="300" spans="4:27" x14ac:dyDescent="0.3">
      <c r="D300" s="57"/>
      <c r="S300" s="10"/>
      <c r="T300" s="10"/>
      <c r="AA300" s="11"/>
    </row>
    <row r="301" spans="4:27" x14ac:dyDescent="0.3">
      <c r="D301" s="57"/>
      <c r="S301" s="10"/>
      <c r="T301" s="10"/>
      <c r="AA301" s="11"/>
    </row>
    <row r="302" spans="4:27" x14ac:dyDescent="0.3">
      <c r="D302" s="57"/>
      <c r="S302" s="10"/>
      <c r="T302" s="10"/>
      <c r="AA302" s="11"/>
    </row>
    <row r="303" spans="4:27" x14ac:dyDescent="0.3">
      <c r="D303" s="57"/>
      <c r="S303" s="10"/>
      <c r="T303" s="10"/>
      <c r="AA303" s="11"/>
    </row>
    <row r="304" spans="4:27" x14ac:dyDescent="0.3">
      <c r="D304" s="57"/>
      <c r="S304" s="10"/>
      <c r="T304" s="10"/>
      <c r="AA304" s="11"/>
    </row>
    <row r="305" spans="4:27" x14ac:dyDescent="0.3">
      <c r="D305" s="57"/>
      <c r="S305" s="10"/>
      <c r="T305" s="10"/>
      <c r="AA305" s="11"/>
    </row>
    <row r="306" spans="4:27" x14ac:dyDescent="0.3">
      <c r="D306" s="57"/>
      <c r="S306" s="10"/>
      <c r="T306" s="10"/>
      <c r="AA306" s="11"/>
    </row>
    <row r="307" spans="4:27" x14ac:dyDescent="0.3">
      <c r="D307" s="57"/>
      <c r="S307" s="10"/>
      <c r="T307" s="10"/>
      <c r="AA307" s="11"/>
    </row>
    <row r="308" spans="4:27" x14ac:dyDescent="0.3">
      <c r="D308" s="57"/>
      <c r="S308" s="10"/>
      <c r="T308" s="10"/>
      <c r="AA308" s="11"/>
    </row>
    <row r="309" spans="4:27" x14ac:dyDescent="0.3">
      <c r="D309" s="57"/>
      <c r="S309" s="10"/>
      <c r="T309" s="10"/>
      <c r="AA309" s="11"/>
    </row>
    <row r="310" spans="4:27" x14ac:dyDescent="0.3">
      <c r="D310" s="57"/>
      <c r="S310" s="10"/>
      <c r="T310" s="10"/>
      <c r="AA310" s="11"/>
    </row>
    <row r="311" spans="4:27" x14ac:dyDescent="0.3">
      <c r="D311" s="57"/>
      <c r="S311" s="10"/>
      <c r="T311" s="10"/>
      <c r="AA311" s="11"/>
    </row>
    <row r="312" spans="4:27" x14ac:dyDescent="0.3">
      <c r="D312" s="57"/>
      <c r="S312" s="10"/>
      <c r="T312" s="10"/>
      <c r="AA312" s="11"/>
    </row>
    <row r="313" spans="4:27" x14ac:dyDescent="0.3">
      <c r="D313" s="57"/>
      <c r="S313" s="10"/>
      <c r="T313" s="10"/>
      <c r="AA313" s="11"/>
    </row>
    <row r="314" spans="4:27" x14ac:dyDescent="0.3">
      <c r="D314" s="57"/>
      <c r="S314" s="10"/>
      <c r="T314" s="10"/>
      <c r="AA314" s="11"/>
    </row>
    <row r="315" spans="4:27" x14ac:dyDescent="0.3">
      <c r="D315" s="57"/>
      <c r="S315" s="10"/>
      <c r="T315" s="10"/>
      <c r="AA315" s="11"/>
    </row>
    <row r="316" spans="4:27" x14ac:dyDescent="0.3">
      <c r="D316" s="57"/>
      <c r="S316" s="10"/>
      <c r="T316" s="10"/>
      <c r="AA316" s="11"/>
    </row>
    <row r="317" spans="4:27" x14ac:dyDescent="0.3">
      <c r="D317" s="57"/>
      <c r="S317" s="10"/>
      <c r="T317" s="10"/>
      <c r="AA317" s="11"/>
    </row>
    <row r="318" spans="4:27" x14ac:dyDescent="0.3">
      <c r="D318" s="57"/>
      <c r="S318" s="10"/>
      <c r="T318" s="10"/>
      <c r="AA318" s="11"/>
    </row>
    <row r="319" spans="4:27" x14ac:dyDescent="0.3">
      <c r="D319" s="57"/>
      <c r="S319" s="10"/>
      <c r="T319" s="10"/>
      <c r="AA319" s="11"/>
    </row>
    <row r="320" spans="4:27" x14ac:dyDescent="0.3">
      <c r="D320" s="57"/>
      <c r="S320" s="10"/>
      <c r="T320" s="10"/>
      <c r="AA320" s="11"/>
    </row>
    <row r="321" spans="4:27" x14ac:dyDescent="0.3">
      <c r="D321" s="57"/>
      <c r="S321" s="10"/>
      <c r="T321" s="10"/>
      <c r="AA321" s="11"/>
    </row>
    <row r="322" spans="4:27" x14ac:dyDescent="0.3">
      <c r="D322" s="57"/>
      <c r="S322" s="10"/>
      <c r="T322" s="10"/>
      <c r="AA322" s="11"/>
    </row>
    <row r="323" spans="4:27" x14ac:dyDescent="0.3">
      <c r="D323" s="57"/>
      <c r="S323" s="10"/>
      <c r="T323" s="10"/>
      <c r="AA323" s="11"/>
    </row>
    <row r="324" spans="4:27" x14ac:dyDescent="0.3">
      <c r="D324" s="57"/>
      <c r="S324" s="10"/>
      <c r="T324" s="10"/>
      <c r="AA324" s="11"/>
    </row>
    <row r="325" spans="4:27" x14ac:dyDescent="0.3">
      <c r="D325" s="57"/>
      <c r="S325" s="10"/>
      <c r="T325" s="10"/>
      <c r="AA325" s="11"/>
    </row>
    <row r="326" spans="4:27" x14ac:dyDescent="0.3">
      <c r="D326" s="57"/>
      <c r="S326" s="10"/>
      <c r="T326" s="10"/>
      <c r="AA326" s="11"/>
    </row>
    <row r="327" spans="4:27" x14ac:dyDescent="0.3">
      <c r="D327" s="57"/>
      <c r="S327" s="10"/>
      <c r="T327" s="10"/>
      <c r="AA327" s="11"/>
    </row>
    <row r="328" spans="4:27" x14ac:dyDescent="0.3">
      <c r="D328" s="57"/>
      <c r="S328" s="10"/>
      <c r="T328" s="10"/>
      <c r="AA328" s="11"/>
    </row>
    <row r="329" spans="4:27" x14ac:dyDescent="0.3">
      <c r="D329" s="57"/>
      <c r="S329" s="10"/>
      <c r="T329" s="10"/>
      <c r="AA329" s="11"/>
    </row>
    <row r="330" spans="4:27" x14ac:dyDescent="0.3">
      <c r="D330" s="57"/>
      <c r="S330" s="10"/>
      <c r="T330" s="10"/>
      <c r="AA330" s="11"/>
    </row>
    <row r="331" spans="4:27" x14ac:dyDescent="0.3">
      <c r="D331" s="57"/>
      <c r="S331" s="10"/>
      <c r="T331" s="10"/>
      <c r="AA331" s="11"/>
    </row>
    <row r="332" spans="4:27" x14ac:dyDescent="0.3">
      <c r="D332" s="57"/>
      <c r="S332" s="10"/>
      <c r="T332" s="10"/>
      <c r="AA332" s="11"/>
    </row>
    <row r="333" spans="4:27" x14ac:dyDescent="0.3">
      <c r="D333" s="57"/>
      <c r="S333" s="10"/>
      <c r="T333" s="10"/>
      <c r="AA333" s="11"/>
    </row>
    <row r="334" spans="4:27" x14ac:dyDescent="0.3">
      <c r="D334" s="57"/>
      <c r="S334" s="10"/>
      <c r="T334" s="10"/>
      <c r="AA334" s="11"/>
    </row>
    <row r="335" spans="4:27" x14ac:dyDescent="0.3">
      <c r="D335" s="57"/>
      <c r="S335" s="10"/>
      <c r="T335" s="10"/>
      <c r="AA335" s="11"/>
    </row>
    <row r="336" spans="4:27" x14ac:dyDescent="0.3">
      <c r="D336" s="57"/>
      <c r="S336" s="10"/>
      <c r="T336" s="10"/>
      <c r="AA336" s="11"/>
    </row>
    <row r="337" spans="4:27" x14ac:dyDescent="0.3">
      <c r="D337" s="57"/>
      <c r="S337" s="10"/>
      <c r="T337" s="10"/>
      <c r="AA337" s="11"/>
    </row>
    <row r="338" spans="4:27" x14ac:dyDescent="0.3">
      <c r="D338" s="57"/>
      <c r="S338" s="10"/>
      <c r="T338" s="10"/>
      <c r="AA338" s="11"/>
    </row>
    <row r="339" spans="4:27" x14ac:dyDescent="0.3">
      <c r="D339" s="57"/>
      <c r="S339" s="10"/>
      <c r="T339" s="10"/>
      <c r="AA339" s="11"/>
    </row>
    <row r="340" spans="4:27" x14ac:dyDescent="0.3">
      <c r="D340" s="57"/>
      <c r="S340" s="10"/>
      <c r="T340" s="10"/>
      <c r="AA340" s="11"/>
    </row>
    <row r="341" spans="4:27" x14ac:dyDescent="0.3">
      <c r="D341" s="57"/>
      <c r="S341" s="10"/>
      <c r="T341" s="10"/>
      <c r="AA341" s="11"/>
    </row>
    <row r="342" spans="4:27" x14ac:dyDescent="0.3">
      <c r="D342" s="57"/>
      <c r="S342" s="10"/>
      <c r="T342" s="10"/>
      <c r="AA342" s="11"/>
    </row>
    <row r="343" spans="4:27" x14ac:dyDescent="0.3">
      <c r="D343" s="57"/>
      <c r="S343" s="10"/>
      <c r="T343" s="10"/>
      <c r="AA343" s="11"/>
    </row>
    <row r="344" spans="4:27" x14ac:dyDescent="0.3">
      <c r="D344" s="57"/>
      <c r="S344" s="10"/>
      <c r="T344" s="10"/>
      <c r="AA344" s="11"/>
    </row>
    <row r="345" spans="4:27" x14ac:dyDescent="0.3">
      <c r="D345" s="57"/>
      <c r="S345" s="10"/>
      <c r="T345" s="10"/>
      <c r="AA345" s="11"/>
    </row>
    <row r="346" spans="4:27" x14ac:dyDescent="0.3">
      <c r="D346" s="57"/>
      <c r="S346" s="10"/>
      <c r="T346" s="10"/>
      <c r="AA346" s="11"/>
    </row>
    <row r="347" spans="4:27" x14ac:dyDescent="0.3">
      <c r="D347" s="57"/>
      <c r="S347" s="10"/>
      <c r="T347" s="10"/>
      <c r="AA347" s="11"/>
    </row>
    <row r="348" spans="4:27" x14ac:dyDescent="0.3">
      <c r="D348" s="57"/>
      <c r="S348" s="10"/>
      <c r="T348" s="10"/>
      <c r="AA348" s="11"/>
    </row>
    <row r="349" spans="4:27" x14ac:dyDescent="0.3">
      <c r="D349" s="57"/>
      <c r="S349" s="10"/>
      <c r="T349" s="10"/>
      <c r="AA349" s="11"/>
    </row>
    <row r="350" spans="4:27" x14ac:dyDescent="0.3">
      <c r="D350" s="57"/>
      <c r="S350" s="10"/>
      <c r="T350" s="10"/>
      <c r="AA350" s="11"/>
    </row>
    <row r="351" spans="4:27" x14ac:dyDescent="0.3">
      <c r="D351" s="57"/>
      <c r="S351" s="10"/>
      <c r="T351" s="10"/>
      <c r="AA351" s="11"/>
    </row>
    <row r="352" spans="4:27" x14ac:dyDescent="0.3">
      <c r="D352" s="57"/>
      <c r="S352" s="10"/>
      <c r="T352" s="10"/>
      <c r="AA352" s="11"/>
    </row>
    <row r="353" spans="4:27" x14ac:dyDescent="0.3">
      <c r="D353" s="57"/>
      <c r="S353" s="10"/>
      <c r="T353" s="10"/>
      <c r="AA353" s="11"/>
    </row>
    <row r="354" spans="4:27" x14ac:dyDescent="0.3">
      <c r="D354" s="57"/>
      <c r="S354" s="10"/>
      <c r="T354" s="10"/>
      <c r="AA354" s="11"/>
    </row>
    <row r="355" spans="4:27" x14ac:dyDescent="0.3">
      <c r="D355" s="57"/>
      <c r="S355" s="10"/>
      <c r="T355" s="10"/>
      <c r="AA355" s="11"/>
    </row>
    <row r="356" spans="4:27" x14ac:dyDescent="0.3">
      <c r="D356" s="57"/>
      <c r="S356" s="10"/>
      <c r="T356" s="10"/>
      <c r="AA356" s="11"/>
    </row>
    <row r="357" spans="4:27" x14ac:dyDescent="0.3">
      <c r="D357" s="57"/>
      <c r="S357" s="10"/>
      <c r="T357" s="10"/>
      <c r="AA357" s="11"/>
    </row>
    <row r="358" spans="4:27" x14ac:dyDescent="0.3">
      <c r="D358" s="57"/>
      <c r="S358" s="10"/>
      <c r="T358" s="10"/>
      <c r="AA358" s="11"/>
    </row>
    <row r="359" spans="4:27" x14ac:dyDescent="0.3">
      <c r="D359" s="57"/>
      <c r="S359" s="10"/>
      <c r="T359" s="10"/>
      <c r="AA359" s="11"/>
    </row>
    <row r="360" spans="4:27" x14ac:dyDescent="0.3">
      <c r="D360" s="57"/>
      <c r="S360" s="10"/>
      <c r="T360" s="10"/>
      <c r="AA360" s="11"/>
    </row>
    <row r="361" spans="4:27" x14ac:dyDescent="0.3">
      <c r="D361" s="57"/>
      <c r="S361" s="10"/>
      <c r="T361" s="10"/>
      <c r="AA361" s="11"/>
    </row>
    <row r="362" spans="4:27" x14ac:dyDescent="0.3">
      <c r="D362" s="57"/>
      <c r="S362" s="10"/>
      <c r="T362" s="10"/>
      <c r="AA362" s="11"/>
    </row>
    <row r="363" spans="4:27" x14ac:dyDescent="0.3">
      <c r="D363" s="57"/>
      <c r="S363" s="10"/>
      <c r="T363" s="10"/>
      <c r="AA363" s="11"/>
    </row>
    <row r="364" spans="4:27" x14ac:dyDescent="0.3">
      <c r="D364" s="57"/>
      <c r="S364" s="10"/>
      <c r="T364" s="10"/>
      <c r="AA364" s="11"/>
    </row>
    <row r="365" spans="4:27" x14ac:dyDescent="0.3">
      <c r="D365" s="57"/>
      <c r="S365" s="10"/>
      <c r="T365" s="10"/>
      <c r="AA365" s="11"/>
    </row>
    <row r="366" spans="4:27" x14ac:dyDescent="0.3">
      <c r="D366" s="57"/>
      <c r="S366" s="10"/>
      <c r="T366" s="10"/>
      <c r="AA366" s="11"/>
    </row>
    <row r="367" spans="4:27" x14ac:dyDescent="0.3">
      <c r="D367" s="57"/>
      <c r="S367" s="10"/>
      <c r="T367" s="10"/>
      <c r="AA367" s="11"/>
    </row>
    <row r="368" spans="4:27" x14ac:dyDescent="0.3">
      <c r="D368" s="57"/>
      <c r="S368" s="10"/>
      <c r="T368" s="10"/>
      <c r="AA368" s="11"/>
    </row>
    <row r="369" spans="4:27" x14ac:dyDescent="0.3">
      <c r="D369" s="57"/>
      <c r="S369" s="10"/>
      <c r="T369" s="10"/>
      <c r="AA369" s="11"/>
    </row>
    <row r="370" spans="4:27" x14ac:dyDescent="0.3">
      <c r="D370" s="57"/>
      <c r="S370" s="10"/>
      <c r="T370" s="10"/>
      <c r="AA370" s="11"/>
    </row>
    <row r="371" spans="4:27" x14ac:dyDescent="0.3">
      <c r="D371" s="57"/>
      <c r="S371" s="10"/>
      <c r="T371" s="10"/>
      <c r="AA371" s="11"/>
    </row>
    <row r="372" spans="4:27" x14ac:dyDescent="0.3">
      <c r="D372" s="57"/>
      <c r="S372" s="10"/>
      <c r="T372" s="10"/>
      <c r="AA372" s="11"/>
    </row>
    <row r="373" spans="4:27" x14ac:dyDescent="0.3">
      <c r="S373" s="10"/>
      <c r="T373" s="10"/>
      <c r="AA373" s="11"/>
    </row>
    <row r="374" spans="4:27" x14ac:dyDescent="0.3">
      <c r="S374" s="10"/>
      <c r="T374" s="10"/>
      <c r="AA374" s="11"/>
    </row>
    <row r="375" spans="4:27" x14ac:dyDescent="0.3">
      <c r="S375" s="10"/>
      <c r="T375" s="10"/>
      <c r="AA375" s="11"/>
    </row>
    <row r="376" spans="4:27" x14ac:dyDescent="0.3">
      <c r="S376" s="10"/>
      <c r="T376" s="10"/>
      <c r="AA376" s="11"/>
    </row>
    <row r="377" spans="4:27" x14ac:dyDescent="0.3">
      <c r="S377" s="10"/>
      <c r="T377" s="10"/>
      <c r="AA377" s="11"/>
    </row>
    <row r="378" spans="4:27" x14ac:dyDescent="0.3">
      <c r="S378" s="10"/>
      <c r="T378" s="10"/>
      <c r="AA378" s="11"/>
    </row>
    <row r="379" spans="4:27" x14ac:dyDescent="0.3">
      <c r="S379" s="10"/>
      <c r="T379" s="10"/>
      <c r="AA379" s="11"/>
    </row>
    <row r="380" spans="4:27" x14ac:dyDescent="0.3">
      <c r="S380" s="10"/>
      <c r="T380" s="10"/>
      <c r="AA380" s="11"/>
    </row>
    <row r="381" spans="4:27" x14ac:dyDescent="0.3">
      <c r="S381" s="10"/>
      <c r="T381" s="10"/>
      <c r="AA381" s="11"/>
    </row>
    <row r="382" spans="4:27" x14ac:dyDescent="0.3">
      <c r="S382" s="10"/>
      <c r="T382" s="10"/>
      <c r="AA382" s="11"/>
    </row>
    <row r="383" spans="4:27" x14ac:dyDescent="0.3">
      <c r="S383" s="10"/>
      <c r="T383" s="10"/>
      <c r="AA383" s="11"/>
    </row>
    <row r="384" spans="4:27" x14ac:dyDescent="0.3">
      <c r="S384" s="10"/>
      <c r="T384" s="10"/>
      <c r="AA384" s="11"/>
    </row>
    <row r="385" spans="19:27" x14ac:dyDescent="0.3">
      <c r="S385" s="10"/>
      <c r="T385" s="10"/>
      <c r="AA385" s="11"/>
    </row>
    <row r="386" spans="19:27" x14ac:dyDescent="0.3">
      <c r="S386" s="10"/>
      <c r="T386" s="10"/>
      <c r="AA386" s="11"/>
    </row>
    <row r="387" spans="19:27" x14ac:dyDescent="0.3">
      <c r="S387" s="10"/>
      <c r="T387" s="10"/>
      <c r="AA387" s="11"/>
    </row>
    <row r="388" spans="19:27" x14ac:dyDescent="0.3">
      <c r="S388" s="10"/>
      <c r="T388" s="10"/>
      <c r="AA388" s="11"/>
    </row>
    <row r="389" spans="19:27" x14ac:dyDescent="0.3">
      <c r="S389" s="10"/>
      <c r="T389" s="10"/>
      <c r="AA389" s="11"/>
    </row>
    <row r="390" spans="19:27" x14ac:dyDescent="0.3">
      <c r="S390" s="10"/>
      <c r="T390" s="10"/>
      <c r="AA390" s="11"/>
    </row>
    <row r="391" spans="19:27" x14ac:dyDescent="0.3">
      <c r="S391" s="10"/>
      <c r="T391" s="10"/>
      <c r="AA391" s="11"/>
    </row>
    <row r="392" spans="19:27" x14ac:dyDescent="0.3">
      <c r="S392" s="10"/>
      <c r="T392" s="10"/>
      <c r="AA392" s="11"/>
    </row>
    <row r="393" spans="19:27" x14ac:dyDescent="0.3">
      <c r="S393" s="10"/>
      <c r="T393" s="10"/>
      <c r="AA393" s="11"/>
    </row>
    <row r="394" spans="19:27" x14ac:dyDescent="0.3">
      <c r="S394" s="10"/>
      <c r="T394" s="10"/>
      <c r="AA394" s="11"/>
    </row>
    <row r="395" spans="19:27" x14ac:dyDescent="0.3">
      <c r="S395" s="10"/>
      <c r="T395" s="10"/>
      <c r="AA395" s="11"/>
    </row>
    <row r="396" spans="19:27" x14ac:dyDescent="0.3">
      <c r="S396" s="10"/>
      <c r="T396" s="10"/>
      <c r="AA396" s="11"/>
    </row>
    <row r="397" spans="19:27" x14ac:dyDescent="0.3">
      <c r="S397" s="10"/>
      <c r="T397" s="10"/>
      <c r="AA397" s="11"/>
    </row>
    <row r="398" spans="19:27" x14ac:dyDescent="0.3">
      <c r="S398" s="10"/>
      <c r="T398" s="10"/>
      <c r="AA398" s="11"/>
    </row>
    <row r="399" spans="19:27" x14ac:dyDescent="0.3">
      <c r="S399" s="10"/>
      <c r="T399" s="10"/>
      <c r="AA399" s="11"/>
    </row>
    <row r="400" spans="19:27" x14ac:dyDescent="0.3">
      <c r="S400" s="10"/>
      <c r="T400" s="10"/>
      <c r="AA400" s="11"/>
    </row>
    <row r="401" spans="19:27" x14ac:dyDescent="0.3">
      <c r="S401" s="10"/>
      <c r="T401" s="10"/>
      <c r="AA401" s="11"/>
    </row>
    <row r="402" spans="19:27" x14ac:dyDescent="0.3">
      <c r="S402" s="10"/>
      <c r="T402" s="10"/>
      <c r="AA402" s="11"/>
    </row>
    <row r="403" spans="19:27" x14ac:dyDescent="0.3">
      <c r="S403" s="10"/>
      <c r="T403" s="10"/>
      <c r="AA403" s="11"/>
    </row>
    <row r="404" spans="19:27" x14ac:dyDescent="0.3">
      <c r="S404" s="10"/>
      <c r="T404" s="10"/>
      <c r="AA404" s="11"/>
    </row>
    <row r="405" spans="19:27" x14ac:dyDescent="0.3">
      <c r="S405" s="10"/>
      <c r="T405" s="10"/>
      <c r="AA405" s="11"/>
    </row>
    <row r="406" spans="19:27" x14ac:dyDescent="0.3">
      <c r="S406" s="10"/>
      <c r="T406" s="10"/>
      <c r="AA406" s="11"/>
    </row>
    <row r="407" spans="19:27" x14ac:dyDescent="0.3">
      <c r="S407" s="10"/>
      <c r="T407" s="10"/>
      <c r="AA407" s="11"/>
    </row>
    <row r="408" spans="19:27" x14ac:dyDescent="0.3">
      <c r="S408" s="10"/>
      <c r="T408" s="10"/>
      <c r="AA408" s="11"/>
    </row>
    <row r="409" spans="19:27" x14ac:dyDescent="0.3">
      <c r="S409" s="10"/>
      <c r="T409" s="10"/>
      <c r="AA409" s="11"/>
    </row>
    <row r="410" spans="19:27" x14ac:dyDescent="0.3">
      <c r="S410" s="10"/>
      <c r="T410" s="10"/>
      <c r="AA410" s="11"/>
    </row>
    <row r="411" spans="19:27" x14ac:dyDescent="0.3">
      <c r="S411" s="10"/>
      <c r="T411" s="10"/>
      <c r="AA411" s="11"/>
    </row>
    <row r="412" spans="19:27" x14ac:dyDescent="0.3">
      <c r="S412" s="10"/>
      <c r="T412" s="10"/>
      <c r="AA412" s="11"/>
    </row>
    <row r="413" spans="19:27" x14ac:dyDescent="0.3">
      <c r="S413" s="10"/>
      <c r="T413" s="10"/>
      <c r="AA413" s="11"/>
    </row>
    <row r="414" spans="19:27" x14ac:dyDescent="0.3">
      <c r="S414" s="10"/>
      <c r="T414" s="10"/>
      <c r="AA414" s="11"/>
    </row>
    <row r="415" spans="19:27" x14ac:dyDescent="0.3">
      <c r="S415" s="10"/>
      <c r="T415" s="10"/>
      <c r="AA415" s="11"/>
    </row>
    <row r="416" spans="19:27" x14ac:dyDescent="0.3">
      <c r="S416" s="10"/>
      <c r="T416" s="10"/>
      <c r="AA416" s="11"/>
    </row>
    <row r="417" spans="19:27" x14ac:dyDescent="0.3">
      <c r="S417" s="10"/>
      <c r="T417" s="10"/>
      <c r="AA417" s="11"/>
    </row>
    <row r="418" spans="19:27" x14ac:dyDescent="0.3">
      <c r="S418" s="10"/>
      <c r="T418" s="10"/>
      <c r="AA418" s="11"/>
    </row>
    <row r="419" spans="19:27" x14ac:dyDescent="0.3">
      <c r="S419" s="10"/>
      <c r="T419" s="10"/>
      <c r="AA419" s="11"/>
    </row>
    <row r="420" spans="19:27" x14ac:dyDescent="0.3">
      <c r="S420" s="10"/>
      <c r="T420" s="10"/>
      <c r="AA420" s="11"/>
    </row>
    <row r="421" spans="19:27" x14ac:dyDescent="0.3">
      <c r="S421" s="10"/>
      <c r="T421" s="10"/>
      <c r="AA421" s="11"/>
    </row>
    <row r="422" spans="19:27" x14ac:dyDescent="0.3">
      <c r="S422" s="10"/>
      <c r="T422" s="10"/>
      <c r="AA422" s="11"/>
    </row>
    <row r="423" spans="19:27" x14ac:dyDescent="0.3">
      <c r="S423" s="10"/>
      <c r="T423" s="10"/>
      <c r="AA423" s="11"/>
    </row>
    <row r="424" spans="19:27" x14ac:dyDescent="0.3">
      <c r="S424" s="10"/>
      <c r="T424" s="10"/>
      <c r="AA424" s="11"/>
    </row>
    <row r="425" spans="19:27" x14ac:dyDescent="0.3">
      <c r="S425" s="10"/>
      <c r="T425" s="10"/>
      <c r="AA425" s="11"/>
    </row>
    <row r="426" spans="19:27" x14ac:dyDescent="0.3">
      <c r="S426" s="10"/>
      <c r="T426" s="10"/>
      <c r="AA426" s="11"/>
    </row>
    <row r="427" spans="19:27" x14ac:dyDescent="0.3">
      <c r="S427" s="10"/>
      <c r="T427" s="10"/>
      <c r="AA427" s="11"/>
    </row>
    <row r="428" spans="19:27" x14ac:dyDescent="0.3">
      <c r="S428" s="10"/>
      <c r="T428" s="10"/>
      <c r="AA428" s="11"/>
    </row>
    <row r="429" spans="19:27" x14ac:dyDescent="0.3">
      <c r="S429" s="10"/>
      <c r="T429" s="10"/>
      <c r="AA429" s="11"/>
    </row>
    <row r="430" spans="19:27" x14ac:dyDescent="0.3">
      <c r="S430" s="10"/>
      <c r="T430" s="10"/>
      <c r="AA430" s="11"/>
    </row>
    <row r="431" spans="19:27" x14ac:dyDescent="0.3">
      <c r="S431" s="10"/>
      <c r="T431" s="10"/>
      <c r="AA431" s="11"/>
    </row>
    <row r="432" spans="19:27" x14ac:dyDescent="0.3">
      <c r="S432" s="10"/>
      <c r="T432" s="10"/>
      <c r="AA432" s="11"/>
    </row>
    <row r="433" spans="19:27" x14ac:dyDescent="0.3">
      <c r="S433" s="10"/>
      <c r="T433" s="10"/>
      <c r="AA433" s="11"/>
    </row>
    <row r="434" spans="19:27" x14ac:dyDescent="0.3">
      <c r="S434" s="10"/>
      <c r="T434" s="10"/>
      <c r="AA434" s="11"/>
    </row>
    <row r="435" spans="19:27" x14ac:dyDescent="0.3">
      <c r="S435" s="10"/>
      <c r="T435" s="10"/>
      <c r="AA435" s="11"/>
    </row>
    <row r="436" spans="19:27" x14ac:dyDescent="0.3">
      <c r="S436" s="10"/>
      <c r="T436" s="10"/>
      <c r="AA436" s="11"/>
    </row>
    <row r="437" spans="19:27" x14ac:dyDescent="0.3">
      <c r="S437" s="10"/>
      <c r="T437" s="10"/>
      <c r="AA437" s="11"/>
    </row>
    <row r="438" spans="19:27" x14ac:dyDescent="0.3">
      <c r="S438" s="10"/>
      <c r="T438" s="10"/>
      <c r="AA438" s="11"/>
    </row>
    <row r="439" spans="19:27" x14ac:dyDescent="0.3">
      <c r="S439" s="10"/>
      <c r="T439" s="10"/>
      <c r="AA439" s="11"/>
    </row>
    <row r="440" spans="19:27" x14ac:dyDescent="0.3">
      <c r="S440" s="10"/>
      <c r="T440" s="10"/>
      <c r="AA440" s="11"/>
    </row>
    <row r="441" spans="19:27" x14ac:dyDescent="0.3">
      <c r="S441" s="10"/>
      <c r="T441" s="10"/>
      <c r="AA441" s="11"/>
    </row>
    <row r="442" spans="19:27" x14ac:dyDescent="0.3">
      <c r="S442" s="10"/>
      <c r="T442" s="10"/>
      <c r="AA442" s="11"/>
    </row>
    <row r="443" spans="19:27" x14ac:dyDescent="0.3">
      <c r="S443" s="10"/>
      <c r="T443" s="10"/>
      <c r="AA443" s="11"/>
    </row>
    <row r="444" spans="19:27" x14ac:dyDescent="0.3">
      <c r="S444" s="10"/>
      <c r="T444" s="10"/>
      <c r="AA444" s="11"/>
    </row>
    <row r="445" spans="19:27" x14ac:dyDescent="0.3">
      <c r="S445" s="10"/>
      <c r="T445" s="10"/>
      <c r="AA445" s="11"/>
    </row>
    <row r="446" spans="19:27" x14ac:dyDescent="0.3">
      <c r="S446" s="10"/>
      <c r="T446" s="10"/>
      <c r="AA446" s="11"/>
    </row>
    <row r="447" spans="19:27" x14ac:dyDescent="0.3">
      <c r="S447" s="10"/>
      <c r="T447" s="10"/>
      <c r="AA447" s="11"/>
    </row>
    <row r="448" spans="19:27" x14ac:dyDescent="0.3">
      <c r="S448" s="10"/>
      <c r="T448" s="10"/>
      <c r="AA448" s="11"/>
    </row>
    <row r="449" spans="19:27" x14ac:dyDescent="0.3">
      <c r="S449" s="10"/>
      <c r="T449" s="10"/>
      <c r="AA449" s="11"/>
    </row>
    <row r="450" spans="19:27" x14ac:dyDescent="0.3">
      <c r="S450" s="10"/>
      <c r="T450" s="10"/>
      <c r="AA450" s="11"/>
    </row>
    <row r="451" spans="19:27" x14ac:dyDescent="0.3">
      <c r="S451" s="10"/>
      <c r="T451" s="10"/>
      <c r="AA451" s="11"/>
    </row>
    <row r="452" spans="19:27" x14ac:dyDescent="0.3">
      <c r="S452" s="10"/>
      <c r="T452" s="10"/>
      <c r="AA452" s="11"/>
    </row>
    <row r="453" spans="19:27" x14ac:dyDescent="0.3">
      <c r="S453" s="10"/>
      <c r="T453" s="10"/>
      <c r="AA453" s="11"/>
    </row>
    <row r="454" spans="19:27" x14ac:dyDescent="0.3">
      <c r="S454" s="10"/>
      <c r="T454" s="10"/>
      <c r="AA454" s="11"/>
    </row>
    <row r="455" spans="19:27" x14ac:dyDescent="0.3">
      <c r="S455" s="10"/>
      <c r="T455" s="10"/>
      <c r="AA455" s="11"/>
    </row>
    <row r="456" spans="19:27" x14ac:dyDescent="0.3">
      <c r="S456" s="10"/>
      <c r="T456" s="10"/>
      <c r="AA456" s="11"/>
    </row>
    <row r="457" spans="19:27" x14ac:dyDescent="0.3">
      <c r="S457" s="10"/>
      <c r="T457" s="10"/>
      <c r="AA457" s="11"/>
    </row>
    <row r="458" spans="19:27" x14ac:dyDescent="0.3">
      <c r="S458" s="10"/>
      <c r="T458" s="10"/>
      <c r="AA458" s="11"/>
    </row>
    <row r="459" spans="19:27" x14ac:dyDescent="0.3">
      <c r="S459" s="10"/>
      <c r="T459" s="10"/>
      <c r="AA459" s="11"/>
    </row>
    <row r="460" spans="19:27" x14ac:dyDescent="0.3">
      <c r="S460" s="10"/>
      <c r="T460" s="10"/>
      <c r="AA460" s="11"/>
    </row>
    <row r="461" spans="19:27" x14ac:dyDescent="0.3">
      <c r="S461" s="10"/>
      <c r="T461" s="10"/>
      <c r="AA461" s="11"/>
    </row>
    <row r="462" spans="19:27" x14ac:dyDescent="0.3">
      <c r="S462" s="10"/>
      <c r="T462" s="10"/>
      <c r="AA462" s="11"/>
    </row>
    <row r="463" spans="19:27" x14ac:dyDescent="0.3">
      <c r="S463" s="10"/>
      <c r="T463" s="10"/>
      <c r="AA463" s="11"/>
    </row>
    <row r="464" spans="19:27" x14ac:dyDescent="0.3">
      <c r="S464" s="10"/>
      <c r="T464" s="10"/>
      <c r="AA464" s="11"/>
    </row>
    <row r="465" spans="19:27" x14ac:dyDescent="0.3">
      <c r="S465" s="10"/>
      <c r="T465" s="10"/>
      <c r="AA465" s="11"/>
    </row>
    <row r="466" spans="19:27" x14ac:dyDescent="0.3">
      <c r="S466" s="10"/>
      <c r="T466" s="10"/>
      <c r="AA466" s="11"/>
    </row>
    <row r="467" spans="19:27" x14ac:dyDescent="0.3">
      <c r="S467" s="10"/>
      <c r="T467" s="10"/>
      <c r="AA467" s="11"/>
    </row>
    <row r="468" spans="19:27" x14ac:dyDescent="0.3">
      <c r="S468" s="10"/>
      <c r="T468" s="10"/>
      <c r="AA468" s="11"/>
    </row>
    <row r="469" spans="19:27" x14ac:dyDescent="0.3">
      <c r="S469" s="10"/>
      <c r="T469" s="10"/>
      <c r="AA469" s="11"/>
    </row>
    <row r="470" spans="19:27" x14ac:dyDescent="0.3">
      <c r="S470" s="10"/>
      <c r="T470" s="10"/>
      <c r="AA470" s="11"/>
    </row>
    <row r="471" spans="19:27" x14ac:dyDescent="0.3">
      <c r="S471" s="10"/>
      <c r="T471" s="10"/>
      <c r="AA471" s="11"/>
    </row>
    <row r="472" spans="19:27" x14ac:dyDescent="0.3">
      <c r="S472" s="10"/>
      <c r="T472" s="10"/>
      <c r="AA472" s="11"/>
    </row>
    <row r="473" spans="19:27" x14ac:dyDescent="0.3">
      <c r="S473" s="10"/>
      <c r="T473" s="10"/>
      <c r="AA473" s="11"/>
    </row>
    <row r="474" spans="19:27" x14ac:dyDescent="0.3">
      <c r="S474" s="10"/>
      <c r="T474" s="10"/>
      <c r="AA474" s="11"/>
    </row>
    <row r="475" spans="19:27" x14ac:dyDescent="0.3">
      <c r="S475" s="10"/>
      <c r="T475" s="10"/>
      <c r="AA475" s="11"/>
    </row>
    <row r="476" spans="19:27" x14ac:dyDescent="0.3">
      <c r="S476" s="10"/>
      <c r="T476" s="10"/>
      <c r="AA476" s="11"/>
    </row>
    <row r="477" spans="19:27" x14ac:dyDescent="0.3">
      <c r="S477" s="10"/>
      <c r="T477" s="10"/>
      <c r="AA477" s="11"/>
    </row>
    <row r="478" spans="19:27" x14ac:dyDescent="0.3">
      <c r="S478" s="10"/>
      <c r="T478" s="10"/>
      <c r="AA478" s="11"/>
    </row>
    <row r="479" spans="19:27" x14ac:dyDescent="0.3">
      <c r="S479" s="10"/>
      <c r="T479" s="10"/>
      <c r="AA479" s="11"/>
    </row>
    <row r="480" spans="19:27" x14ac:dyDescent="0.3">
      <c r="S480" s="10"/>
      <c r="T480" s="10"/>
      <c r="AA480" s="11"/>
    </row>
    <row r="481" spans="19:27" x14ac:dyDescent="0.3">
      <c r="S481" s="10"/>
      <c r="T481" s="10"/>
      <c r="AA481" s="11"/>
    </row>
    <row r="482" spans="19:27" x14ac:dyDescent="0.3">
      <c r="S482" s="10"/>
      <c r="T482" s="10"/>
      <c r="AA482" s="11"/>
    </row>
    <row r="483" spans="19:27" x14ac:dyDescent="0.3">
      <c r="S483" s="10"/>
      <c r="T483" s="10"/>
      <c r="AA483" s="11"/>
    </row>
    <row r="484" spans="19:27" x14ac:dyDescent="0.3">
      <c r="S484" s="10"/>
      <c r="T484" s="10"/>
      <c r="AA484" s="11"/>
    </row>
    <row r="485" spans="19:27" x14ac:dyDescent="0.3">
      <c r="S485" s="10"/>
      <c r="T485" s="10"/>
      <c r="AA485" s="11"/>
    </row>
    <row r="486" spans="19:27" x14ac:dyDescent="0.3">
      <c r="S486" s="10"/>
      <c r="T486" s="10"/>
      <c r="AA486" s="11"/>
    </row>
    <row r="487" spans="19:27" x14ac:dyDescent="0.3">
      <c r="S487" s="10"/>
      <c r="T487" s="10"/>
      <c r="AA487" s="11"/>
    </row>
    <row r="488" spans="19:27" x14ac:dyDescent="0.3">
      <c r="S488" s="10"/>
      <c r="T488" s="10"/>
      <c r="AA488" s="11"/>
    </row>
    <row r="489" spans="19:27" x14ac:dyDescent="0.3">
      <c r="S489" s="10"/>
      <c r="T489" s="10"/>
      <c r="AA489" s="11"/>
    </row>
    <row r="490" spans="19:27" x14ac:dyDescent="0.3">
      <c r="S490" s="10"/>
      <c r="T490" s="10"/>
      <c r="AA490" s="11"/>
    </row>
    <row r="491" spans="19:27" x14ac:dyDescent="0.3">
      <c r="S491" s="10"/>
      <c r="T491" s="10"/>
      <c r="AA491" s="11"/>
    </row>
    <row r="492" spans="19:27" x14ac:dyDescent="0.3">
      <c r="S492" s="10"/>
      <c r="T492" s="10"/>
      <c r="AA492" s="11"/>
    </row>
    <row r="493" spans="19:27" x14ac:dyDescent="0.3">
      <c r="S493" s="10"/>
      <c r="T493" s="10"/>
      <c r="AA493" s="11"/>
    </row>
    <row r="494" spans="19:27" x14ac:dyDescent="0.3">
      <c r="S494" s="10"/>
      <c r="T494" s="10"/>
      <c r="AA494" s="11"/>
    </row>
    <row r="495" spans="19:27" x14ac:dyDescent="0.3">
      <c r="S495" s="10"/>
      <c r="T495" s="10"/>
      <c r="AA495" s="11"/>
    </row>
    <row r="496" spans="19:27" x14ac:dyDescent="0.3">
      <c r="S496" s="10"/>
      <c r="T496" s="10"/>
      <c r="AA496" s="11"/>
    </row>
    <row r="497" spans="19:27" x14ac:dyDescent="0.3">
      <c r="S497" s="10"/>
      <c r="T497" s="10"/>
      <c r="AA497" s="11"/>
    </row>
    <row r="498" spans="19:27" x14ac:dyDescent="0.3">
      <c r="S498" s="10"/>
      <c r="T498" s="10"/>
      <c r="AA498" s="11"/>
    </row>
    <row r="499" spans="19:27" x14ac:dyDescent="0.3">
      <c r="S499" s="10"/>
      <c r="T499" s="10"/>
      <c r="AA499" s="11"/>
    </row>
    <row r="500" spans="19:27" x14ac:dyDescent="0.3">
      <c r="S500" s="10"/>
      <c r="T500" s="10"/>
      <c r="AA500" s="11"/>
    </row>
    <row r="501" spans="19:27" x14ac:dyDescent="0.3">
      <c r="S501" s="10"/>
      <c r="T501" s="10"/>
      <c r="AA501" s="11"/>
    </row>
    <row r="502" spans="19:27" x14ac:dyDescent="0.3">
      <c r="S502" s="10"/>
      <c r="T502" s="10"/>
      <c r="AA502" s="11"/>
    </row>
    <row r="503" spans="19:27" x14ac:dyDescent="0.3">
      <c r="S503" s="10"/>
      <c r="T503" s="10"/>
      <c r="AA503" s="11"/>
    </row>
    <row r="504" spans="19:27" x14ac:dyDescent="0.3">
      <c r="S504" s="10"/>
      <c r="T504" s="10"/>
      <c r="AA504" s="11"/>
    </row>
    <row r="505" spans="19:27" x14ac:dyDescent="0.3">
      <c r="S505" s="10"/>
      <c r="T505" s="10"/>
      <c r="AA505" s="11"/>
    </row>
    <row r="506" spans="19:27" x14ac:dyDescent="0.3">
      <c r="S506" s="10"/>
      <c r="T506" s="10"/>
      <c r="AA506" s="11"/>
    </row>
    <row r="507" spans="19:27" x14ac:dyDescent="0.3">
      <c r="S507" s="10"/>
      <c r="T507" s="10"/>
      <c r="AA507" s="11"/>
    </row>
    <row r="508" spans="19:27" x14ac:dyDescent="0.3">
      <c r="S508" s="10"/>
      <c r="T508" s="10"/>
      <c r="AA508" s="11"/>
    </row>
    <row r="509" spans="19:27" x14ac:dyDescent="0.3">
      <c r="S509" s="10"/>
      <c r="T509" s="10"/>
      <c r="AA509" s="11"/>
    </row>
    <row r="510" spans="19:27" x14ac:dyDescent="0.3">
      <c r="S510" s="10"/>
      <c r="T510" s="10"/>
      <c r="AA510" s="11"/>
    </row>
    <row r="511" spans="19:27" x14ac:dyDescent="0.3">
      <c r="S511" s="10"/>
      <c r="T511" s="10"/>
      <c r="AA511" s="11"/>
    </row>
    <row r="512" spans="19:27" x14ac:dyDescent="0.3">
      <c r="S512" s="10"/>
      <c r="T512" s="10"/>
      <c r="AA512" s="11"/>
    </row>
    <row r="513" spans="19:27" x14ac:dyDescent="0.3">
      <c r="S513" s="10"/>
      <c r="T513" s="10"/>
      <c r="AA513" s="11"/>
    </row>
    <row r="514" spans="19:27" x14ac:dyDescent="0.3">
      <c r="S514" s="10"/>
      <c r="T514" s="10"/>
      <c r="AA514" s="11"/>
    </row>
    <row r="515" spans="19:27" x14ac:dyDescent="0.3">
      <c r="S515" s="10"/>
      <c r="T515" s="10"/>
      <c r="AA515" s="11"/>
    </row>
    <row r="516" spans="19:27" x14ac:dyDescent="0.3">
      <c r="S516" s="10"/>
      <c r="T516" s="10"/>
      <c r="AA516" s="11"/>
    </row>
    <row r="517" spans="19:27" x14ac:dyDescent="0.3">
      <c r="S517" s="10"/>
      <c r="T517" s="10"/>
      <c r="AA517" s="11"/>
    </row>
    <row r="518" spans="19:27" x14ac:dyDescent="0.3">
      <c r="S518" s="10"/>
      <c r="T518" s="10"/>
      <c r="AA518" s="11"/>
    </row>
    <row r="519" spans="19:27" x14ac:dyDescent="0.3">
      <c r="S519" s="10"/>
      <c r="T519" s="10"/>
      <c r="AA519" s="11"/>
    </row>
    <row r="520" spans="19:27" x14ac:dyDescent="0.3">
      <c r="S520" s="10"/>
      <c r="T520" s="10"/>
      <c r="AA520" s="11"/>
    </row>
    <row r="521" spans="19:27" x14ac:dyDescent="0.3">
      <c r="S521" s="10"/>
      <c r="T521" s="10"/>
      <c r="AA521" s="11"/>
    </row>
    <row r="522" spans="19:27" x14ac:dyDescent="0.3">
      <c r="S522" s="10"/>
      <c r="T522" s="10"/>
      <c r="AA522" s="11"/>
    </row>
    <row r="523" spans="19:27" x14ac:dyDescent="0.3">
      <c r="S523" s="10"/>
      <c r="T523" s="10"/>
      <c r="AA523" s="11"/>
    </row>
    <row r="524" spans="19:27" x14ac:dyDescent="0.3">
      <c r="S524" s="10"/>
      <c r="T524" s="10"/>
      <c r="AA524" s="11"/>
    </row>
    <row r="525" spans="19:27" x14ac:dyDescent="0.3">
      <c r="S525" s="10"/>
      <c r="T525" s="10"/>
      <c r="AA525" s="11"/>
    </row>
    <row r="526" spans="19:27" x14ac:dyDescent="0.3">
      <c r="S526" s="10"/>
      <c r="T526" s="10"/>
      <c r="AA526" s="11"/>
    </row>
    <row r="527" spans="19:27" x14ac:dyDescent="0.3">
      <c r="S527" s="10"/>
      <c r="T527" s="10"/>
      <c r="AA527" s="11"/>
    </row>
    <row r="528" spans="19:27" x14ac:dyDescent="0.3">
      <c r="S528" s="10"/>
      <c r="T528" s="10"/>
      <c r="AA528" s="11"/>
    </row>
    <row r="529" spans="19:27" x14ac:dyDescent="0.3">
      <c r="S529" s="10"/>
      <c r="T529" s="10"/>
      <c r="AA529" s="11"/>
    </row>
    <row r="530" spans="19:27" x14ac:dyDescent="0.3">
      <c r="S530" s="10"/>
      <c r="T530" s="10"/>
      <c r="AA530" s="11"/>
    </row>
    <row r="531" spans="19:27" x14ac:dyDescent="0.3">
      <c r="S531" s="10"/>
      <c r="T531" s="10"/>
      <c r="AA531" s="11"/>
    </row>
    <row r="532" spans="19:27" x14ac:dyDescent="0.3">
      <c r="S532" s="10"/>
      <c r="T532" s="10"/>
      <c r="AA532" s="11"/>
    </row>
    <row r="533" spans="19:27" x14ac:dyDescent="0.3">
      <c r="S533" s="10"/>
      <c r="T533" s="10"/>
      <c r="AA533" s="11"/>
    </row>
    <row r="534" spans="19:27" x14ac:dyDescent="0.3">
      <c r="S534" s="10"/>
      <c r="T534" s="10"/>
      <c r="AA534" s="11"/>
    </row>
    <row r="535" spans="19:27" x14ac:dyDescent="0.3">
      <c r="S535" s="10"/>
      <c r="T535" s="10"/>
      <c r="AA535" s="11"/>
    </row>
    <row r="536" spans="19:27" x14ac:dyDescent="0.3">
      <c r="S536" s="10"/>
      <c r="T536" s="10"/>
      <c r="AA536" s="11"/>
    </row>
    <row r="537" spans="19:27" x14ac:dyDescent="0.3">
      <c r="S537" s="10"/>
      <c r="T537" s="10"/>
      <c r="AA537" s="11"/>
    </row>
    <row r="538" spans="19:27" x14ac:dyDescent="0.3">
      <c r="S538" s="10"/>
      <c r="T538" s="10"/>
      <c r="AA538" s="11"/>
    </row>
    <row r="539" spans="19:27" x14ac:dyDescent="0.3">
      <c r="S539" s="10"/>
      <c r="T539" s="10"/>
      <c r="AA539" s="11"/>
    </row>
    <row r="540" spans="19:27" x14ac:dyDescent="0.3">
      <c r="S540" s="10"/>
      <c r="T540" s="10"/>
      <c r="AA540" s="11"/>
    </row>
    <row r="541" spans="19:27" x14ac:dyDescent="0.3">
      <c r="S541" s="10"/>
      <c r="T541" s="10"/>
      <c r="AA541" s="11"/>
    </row>
    <row r="542" spans="19:27" x14ac:dyDescent="0.3">
      <c r="S542" s="10"/>
      <c r="T542" s="10"/>
      <c r="AA542" s="11"/>
    </row>
    <row r="543" spans="19:27" x14ac:dyDescent="0.3">
      <c r="S543" s="10"/>
      <c r="T543" s="10"/>
      <c r="AA543" s="11"/>
    </row>
    <row r="544" spans="19:27" x14ac:dyDescent="0.3">
      <c r="S544" s="10"/>
      <c r="T544" s="10"/>
      <c r="AA544" s="11"/>
    </row>
    <row r="545" spans="19:27" x14ac:dyDescent="0.3">
      <c r="S545" s="10"/>
      <c r="T545" s="10"/>
      <c r="AA545" s="11"/>
    </row>
    <row r="546" spans="19:27" x14ac:dyDescent="0.3">
      <c r="S546" s="10"/>
      <c r="T546" s="10"/>
      <c r="AA546" s="11"/>
    </row>
    <row r="547" spans="19:27" x14ac:dyDescent="0.3">
      <c r="S547" s="10"/>
      <c r="T547" s="10"/>
      <c r="AA547" s="11"/>
    </row>
    <row r="548" spans="19:27" x14ac:dyDescent="0.3">
      <c r="S548" s="10"/>
      <c r="T548" s="10"/>
      <c r="AA548" s="11"/>
    </row>
    <row r="549" spans="19:27" x14ac:dyDescent="0.3">
      <c r="S549" s="10"/>
      <c r="T549" s="10"/>
      <c r="AA549" s="11"/>
    </row>
    <row r="550" spans="19:27" x14ac:dyDescent="0.3">
      <c r="S550" s="10"/>
      <c r="T550" s="10"/>
      <c r="AA550" s="11"/>
    </row>
    <row r="551" spans="19:27" x14ac:dyDescent="0.3">
      <c r="S551" s="10"/>
      <c r="T551" s="10"/>
      <c r="AA551" s="11"/>
    </row>
    <row r="552" spans="19:27" x14ac:dyDescent="0.3">
      <c r="S552" s="10"/>
      <c r="T552" s="10"/>
      <c r="AA552" s="11"/>
    </row>
    <row r="553" spans="19:27" x14ac:dyDescent="0.3">
      <c r="S553" s="10"/>
      <c r="T553" s="10"/>
      <c r="AA553" s="11"/>
    </row>
    <row r="554" spans="19:27" x14ac:dyDescent="0.3">
      <c r="S554" s="10"/>
      <c r="T554" s="10"/>
      <c r="AA554" s="11"/>
    </row>
    <row r="555" spans="19:27" x14ac:dyDescent="0.3">
      <c r="S555" s="10"/>
      <c r="T555" s="10"/>
      <c r="AA555" s="11"/>
    </row>
    <row r="556" spans="19:27" x14ac:dyDescent="0.3">
      <c r="S556" s="10"/>
      <c r="T556" s="10"/>
      <c r="AA556" s="11"/>
    </row>
    <row r="557" spans="19:27" x14ac:dyDescent="0.3">
      <c r="S557" s="10"/>
      <c r="T557" s="10"/>
      <c r="AA557" s="11"/>
    </row>
    <row r="558" spans="19:27" x14ac:dyDescent="0.3">
      <c r="S558" s="10"/>
      <c r="T558" s="10"/>
      <c r="AA558" s="11"/>
    </row>
    <row r="559" spans="19:27" x14ac:dyDescent="0.3">
      <c r="S559" s="10"/>
      <c r="T559" s="10"/>
      <c r="AA559" s="11"/>
    </row>
    <row r="560" spans="19:27" x14ac:dyDescent="0.3">
      <c r="S560" s="10"/>
      <c r="T560" s="10"/>
      <c r="AA560" s="11"/>
    </row>
    <row r="561" spans="19:27" x14ac:dyDescent="0.3">
      <c r="S561" s="10"/>
      <c r="T561" s="10"/>
      <c r="AA561" s="11"/>
    </row>
    <row r="562" spans="19:27" x14ac:dyDescent="0.3">
      <c r="S562" s="10"/>
      <c r="T562" s="10"/>
      <c r="AA562" s="11"/>
    </row>
    <row r="563" spans="19:27" x14ac:dyDescent="0.3">
      <c r="S563" s="10"/>
      <c r="T563" s="10"/>
      <c r="AA563" s="11"/>
    </row>
    <row r="564" spans="19:27" x14ac:dyDescent="0.3">
      <c r="S564" s="10"/>
      <c r="T564" s="10"/>
      <c r="AA564" s="11"/>
    </row>
    <row r="565" spans="19:27" x14ac:dyDescent="0.3">
      <c r="S565" s="10"/>
      <c r="T565" s="10"/>
      <c r="AA565" s="11"/>
    </row>
    <row r="566" spans="19:27" x14ac:dyDescent="0.3">
      <c r="S566" s="10"/>
      <c r="T566" s="10"/>
      <c r="AA566" s="11"/>
    </row>
    <row r="567" spans="19:27" x14ac:dyDescent="0.3">
      <c r="S567" s="10"/>
      <c r="T567" s="10"/>
      <c r="AA567" s="11"/>
    </row>
    <row r="568" spans="19:27" x14ac:dyDescent="0.3">
      <c r="S568" s="10"/>
      <c r="T568" s="10"/>
      <c r="AA568" s="11"/>
    </row>
    <row r="569" spans="19:27" x14ac:dyDescent="0.3">
      <c r="S569" s="10"/>
      <c r="T569" s="10"/>
      <c r="AA569" s="11"/>
    </row>
    <row r="570" spans="19:27" x14ac:dyDescent="0.3">
      <c r="S570" s="10"/>
      <c r="T570" s="10"/>
      <c r="AA570" s="11"/>
    </row>
    <row r="571" spans="19:27" x14ac:dyDescent="0.3">
      <c r="S571" s="10"/>
      <c r="T571" s="10"/>
      <c r="AA571" s="11"/>
    </row>
    <row r="572" spans="19:27" x14ac:dyDescent="0.3">
      <c r="S572" s="10"/>
      <c r="T572" s="10"/>
      <c r="AA572" s="11"/>
    </row>
    <row r="573" spans="19:27" x14ac:dyDescent="0.3">
      <c r="S573" s="10"/>
      <c r="T573" s="10"/>
      <c r="AA573" s="11"/>
    </row>
    <row r="574" spans="19:27" x14ac:dyDescent="0.3">
      <c r="S574" s="10"/>
      <c r="T574" s="10"/>
      <c r="AA574" s="11"/>
    </row>
    <row r="575" spans="19:27" x14ac:dyDescent="0.3">
      <c r="S575" s="10"/>
      <c r="T575" s="10"/>
      <c r="AA575" s="11"/>
    </row>
    <row r="576" spans="19:27" x14ac:dyDescent="0.3">
      <c r="S576" s="10"/>
      <c r="T576" s="10"/>
      <c r="AA576" s="11"/>
    </row>
    <row r="577" spans="19:27" x14ac:dyDescent="0.3">
      <c r="S577" s="10"/>
      <c r="T577" s="10"/>
      <c r="AA577" s="11"/>
    </row>
    <row r="578" spans="19:27" x14ac:dyDescent="0.3">
      <c r="S578" s="10"/>
      <c r="T578" s="10"/>
      <c r="AA578" s="11"/>
    </row>
    <row r="579" spans="19:27" x14ac:dyDescent="0.3">
      <c r="S579" s="10"/>
      <c r="T579" s="10"/>
      <c r="AA579" s="11"/>
    </row>
    <row r="580" spans="19:27" x14ac:dyDescent="0.3">
      <c r="S580" s="10"/>
      <c r="T580" s="10"/>
      <c r="AA580" s="11"/>
    </row>
    <row r="581" spans="19:27" x14ac:dyDescent="0.3">
      <c r="S581" s="10"/>
      <c r="T581" s="10"/>
      <c r="AA581" s="11"/>
    </row>
    <row r="582" spans="19:27" x14ac:dyDescent="0.3">
      <c r="S582" s="10"/>
      <c r="T582" s="10"/>
      <c r="AA582" s="11"/>
    </row>
    <row r="583" spans="19:27" x14ac:dyDescent="0.3">
      <c r="S583" s="10"/>
      <c r="T583" s="10"/>
      <c r="AA583" s="11"/>
    </row>
    <row r="584" spans="19:27" x14ac:dyDescent="0.3">
      <c r="S584" s="10"/>
      <c r="T584" s="10"/>
      <c r="AA584" s="11"/>
    </row>
    <row r="585" spans="19:27" x14ac:dyDescent="0.3">
      <c r="S585" s="10"/>
      <c r="T585" s="10"/>
      <c r="AA585" s="11"/>
    </row>
    <row r="586" spans="19:27" x14ac:dyDescent="0.3">
      <c r="S586" s="10"/>
      <c r="T586" s="10"/>
      <c r="AA586" s="11"/>
    </row>
    <row r="587" spans="19:27" x14ac:dyDescent="0.3">
      <c r="S587" s="10"/>
      <c r="T587" s="10"/>
      <c r="AA587" s="11"/>
    </row>
    <row r="588" spans="19:27" x14ac:dyDescent="0.3">
      <c r="S588" s="10"/>
      <c r="T588" s="10"/>
      <c r="AA588" s="11"/>
    </row>
    <row r="589" spans="19:27" x14ac:dyDescent="0.3">
      <c r="S589" s="10"/>
      <c r="T589" s="10"/>
      <c r="AA589" s="11"/>
    </row>
    <row r="590" spans="19:27" x14ac:dyDescent="0.3">
      <c r="S590" s="10"/>
      <c r="T590" s="10"/>
      <c r="AA590" s="11"/>
    </row>
    <row r="591" spans="19:27" x14ac:dyDescent="0.3">
      <c r="S591" s="10"/>
      <c r="T591" s="10"/>
      <c r="AA591" s="11"/>
    </row>
    <row r="592" spans="19:27" x14ac:dyDescent="0.3">
      <c r="S592" s="10"/>
      <c r="T592" s="10"/>
      <c r="AA592" s="11"/>
    </row>
    <row r="593" spans="19:27" x14ac:dyDescent="0.3">
      <c r="S593" s="10"/>
      <c r="T593" s="10"/>
      <c r="AA593" s="11"/>
    </row>
    <row r="594" spans="19:27" x14ac:dyDescent="0.3">
      <c r="S594" s="10"/>
      <c r="T594" s="10"/>
      <c r="AA594" s="11"/>
    </row>
    <row r="595" spans="19:27" x14ac:dyDescent="0.3">
      <c r="S595" s="10"/>
      <c r="T595" s="10"/>
      <c r="AA595" s="11"/>
    </row>
    <row r="596" spans="19:27" x14ac:dyDescent="0.3">
      <c r="S596" s="10"/>
      <c r="T596" s="10"/>
      <c r="AA596" s="11"/>
    </row>
    <row r="597" spans="19:27" x14ac:dyDescent="0.3">
      <c r="S597" s="10"/>
      <c r="T597" s="10"/>
      <c r="AA597" s="11"/>
    </row>
    <row r="598" spans="19:27" x14ac:dyDescent="0.3">
      <c r="S598" s="10"/>
      <c r="T598" s="10"/>
      <c r="AA598" s="11"/>
    </row>
    <row r="599" spans="19:27" x14ac:dyDescent="0.3">
      <c r="S599" s="10"/>
      <c r="T599" s="10"/>
      <c r="AA599" s="11"/>
    </row>
    <row r="600" spans="19:27" x14ac:dyDescent="0.3">
      <c r="S600" s="10"/>
      <c r="T600" s="10"/>
      <c r="AA600" s="11"/>
    </row>
    <row r="601" spans="19:27" x14ac:dyDescent="0.3">
      <c r="S601" s="10"/>
      <c r="T601" s="10"/>
      <c r="AA601" s="11"/>
    </row>
    <row r="602" spans="19:27" x14ac:dyDescent="0.3">
      <c r="S602" s="10"/>
      <c r="T602" s="10"/>
      <c r="AA602" s="11"/>
    </row>
    <row r="603" spans="19:27" x14ac:dyDescent="0.3">
      <c r="S603" s="10"/>
      <c r="T603" s="10"/>
      <c r="AA603" s="11"/>
    </row>
    <row r="604" spans="19:27" x14ac:dyDescent="0.3">
      <c r="S604" s="10"/>
      <c r="T604" s="10"/>
      <c r="AA604" s="11"/>
    </row>
    <row r="605" spans="19:27" x14ac:dyDescent="0.3">
      <c r="S605" s="10"/>
      <c r="T605" s="10"/>
      <c r="AA605" s="11"/>
    </row>
    <row r="606" spans="19:27" x14ac:dyDescent="0.3">
      <c r="S606" s="10"/>
      <c r="T606" s="10"/>
      <c r="AA606" s="11"/>
    </row>
    <row r="607" spans="19:27" x14ac:dyDescent="0.3">
      <c r="S607" s="10"/>
      <c r="T607" s="10"/>
      <c r="AA607" s="11"/>
    </row>
    <row r="608" spans="19:27" x14ac:dyDescent="0.3">
      <c r="S608" s="10"/>
      <c r="T608" s="10"/>
      <c r="AA608" s="11"/>
    </row>
    <row r="609" spans="19:27" x14ac:dyDescent="0.3">
      <c r="S609" s="10"/>
      <c r="T609" s="10"/>
      <c r="AA609" s="11"/>
    </row>
    <row r="610" spans="19:27" x14ac:dyDescent="0.3">
      <c r="S610" s="10"/>
      <c r="T610" s="10"/>
      <c r="AA610" s="11"/>
    </row>
    <row r="611" spans="19:27" x14ac:dyDescent="0.3">
      <c r="S611" s="10"/>
      <c r="T611" s="10"/>
      <c r="AA611" s="11"/>
    </row>
    <row r="612" spans="19:27" x14ac:dyDescent="0.3">
      <c r="S612" s="10"/>
      <c r="T612" s="10"/>
      <c r="AA612" s="11"/>
    </row>
    <row r="613" spans="19:27" x14ac:dyDescent="0.3">
      <c r="S613" s="10"/>
      <c r="T613" s="10"/>
      <c r="AA613" s="11"/>
    </row>
    <row r="614" spans="19:27" x14ac:dyDescent="0.3">
      <c r="S614" s="10"/>
      <c r="T614" s="10"/>
      <c r="AA614" s="11"/>
    </row>
    <row r="615" spans="19:27" x14ac:dyDescent="0.3">
      <c r="S615" s="10"/>
      <c r="T615" s="10"/>
      <c r="AA615" s="11"/>
    </row>
    <row r="616" spans="19:27" x14ac:dyDescent="0.3">
      <c r="S616" s="10"/>
      <c r="T616" s="10"/>
      <c r="AA616" s="11"/>
    </row>
    <row r="617" spans="19:27" x14ac:dyDescent="0.3">
      <c r="S617" s="10"/>
      <c r="T617" s="10"/>
      <c r="AA617" s="11"/>
    </row>
    <row r="618" spans="19:27" x14ac:dyDescent="0.3">
      <c r="S618" s="10"/>
      <c r="T618" s="10"/>
      <c r="AA618" s="11"/>
    </row>
    <row r="619" spans="19:27" x14ac:dyDescent="0.3">
      <c r="S619" s="10"/>
      <c r="T619" s="10"/>
      <c r="AA619" s="11"/>
    </row>
    <row r="620" spans="19:27" x14ac:dyDescent="0.3">
      <c r="S620" s="10"/>
      <c r="T620" s="10"/>
      <c r="AA620" s="11"/>
    </row>
    <row r="621" spans="19:27" x14ac:dyDescent="0.3">
      <c r="S621" s="10"/>
      <c r="T621" s="10"/>
      <c r="AA621" s="11"/>
    </row>
    <row r="622" spans="19:27" x14ac:dyDescent="0.3">
      <c r="S622" s="10"/>
      <c r="T622" s="10"/>
      <c r="AA622" s="11"/>
    </row>
    <row r="623" spans="19:27" x14ac:dyDescent="0.3">
      <c r="S623" s="10"/>
      <c r="T623" s="10"/>
      <c r="AA623" s="11"/>
    </row>
    <row r="624" spans="19:27" x14ac:dyDescent="0.3">
      <c r="S624" s="10"/>
      <c r="T624" s="10"/>
      <c r="AA624" s="11"/>
    </row>
    <row r="625" spans="19:27" x14ac:dyDescent="0.3">
      <c r="S625" s="10"/>
      <c r="T625" s="10"/>
      <c r="AA625" s="11"/>
    </row>
    <row r="626" spans="19:27" x14ac:dyDescent="0.3">
      <c r="S626" s="10"/>
      <c r="T626" s="10"/>
      <c r="AA626" s="11"/>
    </row>
    <row r="627" spans="19:27" x14ac:dyDescent="0.3">
      <c r="S627" s="10"/>
      <c r="T627" s="10"/>
      <c r="AA627" s="11"/>
    </row>
    <row r="628" spans="19:27" x14ac:dyDescent="0.3">
      <c r="S628" s="10"/>
      <c r="T628" s="10"/>
      <c r="AA628" s="11"/>
    </row>
    <row r="629" spans="19:27" x14ac:dyDescent="0.3">
      <c r="S629" s="10"/>
      <c r="T629" s="10"/>
      <c r="AA629" s="11"/>
    </row>
    <row r="630" spans="19:27" x14ac:dyDescent="0.3">
      <c r="S630" s="10"/>
      <c r="T630" s="10"/>
      <c r="AA630" s="11"/>
    </row>
    <row r="631" spans="19:27" x14ac:dyDescent="0.3">
      <c r="S631" s="10"/>
      <c r="T631" s="10"/>
      <c r="AA631" s="11"/>
    </row>
    <row r="632" spans="19:27" x14ac:dyDescent="0.3">
      <c r="S632" s="10"/>
      <c r="T632" s="10"/>
      <c r="AA632" s="11"/>
    </row>
    <row r="633" spans="19:27" x14ac:dyDescent="0.3">
      <c r="S633" s="10"/>
      <c r="T633" s="10"/>
      <c r="AA633" s="11"/>
    </row>
    <row r="634" spans="19:27" x14ac:dyDescent="0.3">
      <c r="S634" s="10"/>
      <c r="T634" s="10"/>
      <c r="AA634" s="11"/>
    </row>
    <row r="635" spans="19:27" x14ac:dyDescent="0.3">
      <c r="S635" s="10"/>
      <c r="T635" s="10"/>
      <c r="AA635" s="11"/>
    </row>
    <row r="636" spans="19:27" x14ac:dyDescent="0.3">
      <c r="S636" s="10"/>
      <c r="T636" s="10"/>
      <c r="AA636" s="11"/>
    </row>
    <row r="637" spans="19:27" x14ac:dyDescent="0.3">
      <c r="S637" s="10"/>
      <c r="T637" s="10"/>
      <c r="AA637" s="11"/>
    </row>
    <row r="638" spans="19:27" x14ac:dyDescent="0.3">
      <c r="S638" s="10"/>
      <c r="T638" s="10"/>
      <c r="AA638" s="11"/>
    </row>
    <row r="639" spans="19:27" x14ac:dyDescent="0.3">
      <c r="S639" s="10"/>
      <c r="T639" s="10"/>
      <c r="AA639" s="11"/>
    </row>
    <row r="640" spans="19:27" x14ac:dyDescent="0.3">
      <c r="S640" s="10"/>
      <c r="T640" s="10"/>
      <c r="AA640" s="11"/>
    </row>
    <row r="641" spans="19:27" x14ac:dyDescent="0.3">
      <c r="S641" s="10"/>
      <c r="T641" s="10"/>
      <c r="AA641" s="11"/>
    </row>
    <row r="642" spans="19:27" x14ac:dyDescent="0.3">
      <c r="S642" s="10"/>
      <c r="T642" s="10"/>
      <c r="AA642" s="11"/>
    </row>
    <row r="643" spans="19:27" x14ac:dyDescent="0.3">
      <c r="S643" s="10"/>
      <c r="T643" s="10"/>
      <c r="AA643" s="11"/>
    </row>
    <row r="644" spans="19:27" x14ac:dyDescent="0.3">
      <c r="S644" s="10"/>
      <c r="T644" s="10"/>
      <c r="AA644" s="11"/>
    </row>
    <row r="645" spans="19:27" x14ac:dyDescent="0.3">
      <c r="S645" s="10"/>
      <c r="T645" s="10"/>
      <c r="AA645" s="11"/>
    </row>
    <row r="646" spans="19:27" x14ac:dyDescent="0.3">
      <c r="S646" s="10"/>
      <c r="T646" s="10"/>
      <c r="AA646" s="11"/>
    </row>
    <row r="647" spans="19:27" x14ac:dyDescent="0.3">
      <c r="S647" s="10"/>
      <c r="T647" s="10"/>
      <c r="AA647" s="11"/>
    </row>
    <row r="648" spans="19:27" x14ac:dyDescent="0.3">
      <c r="S648" s="10"/>
      <c r="T648" s="10"/>
      <c r="AA648" s="11"/>
    </row>
    <row r="649" spans="19:27" x14ac:dyDescent="0.3">
      <c r="S649" s="10"/>
      <c r="T649" s="10"/>
      <c r="AA649" s="11"/>
    </row>
    <row r="650" spans="19:27" x14ac:dyDescent="0.3">
      <c r="S650" s="10"/>
      <c r="T650" s="10"/>
      <c r="AA650" s="11"/>
    </row>
    <row r="651" spans="19:27" x14ac:dyDescent="0.3">
      <c r="S651" s="10"/>
      <c r="T651" s="10"/>
      <c r="AA651" s="11"/>
    </row>
    <row r="652" spans="19:27" x14ac:dyDescent="0.3">
      <c r="S652" s="10"/>
      <c r="T652" s="10"/>
      <c r="AA652" s="11"/>
    </row>
    <row r="653" spans="19:27" x14ac:dyDescent="0.3">
      <c r="S653" s="10"/>
      <c r="T653" s="10"/>
      <c r="AA653" s="11"/>
    </row>
    <row r="654" spans="19:27" x14ac:dyDescent="0.3">
      <c r="S654" s="10"/>
      <c r="T654" s="10"/>
      <c r="AA654" s="11"/>
    </row>
    <row r="655" spans="19:27" x14ac:dyDescent="0.3">
      <c r="S655" s="10"/>
      <c r="T655" s="10"/>
      <c r="AA655" s="11"/>
    </row>
    <row r="656" spans="19:27" x14ac:dyDescent="0.3">
      <c r="S656" s="10"/>
      <c r="T656" s="10"/>
      <c r="AA656" s="11"/>
    </row>
    <row r="657" spans="19:27" x14ac:dyDescent="0.3">
      <c r="S657" s="10"/>
      <c r="T657" s="10"/>
      <c r="AA657" s="11"/>
    </row>
    <row r="658" spans="19:27" x14ac:dyDescent="0.3">
      <c r="S658" s="10"/>
      <c r="T658" s="10"/>
      <c r="AA658" s="11"/>
    </row>
    <row r="659" spans="19:27" x14ac:dyDescent="0.3">
      <c r="S659" s="10"/>
      <c r="T659" s="10"/>
      <c r="AA659" s="11"/>
    </row>
    <row r="660" spans="19:27" x14ac:dyDescent="0.3">
      <c r="S660" s="10"/>
      <c r="T660" s="10"/>
      <c r="AA660" s="11"/>
    </row>
    <row r="661" spans="19:27" x14ac:dyDescent="0.3">
      <c r="S661" s="10"/>
      <c r="T661" s="10"/>
      <c r="AA661" s="11"/>
    </row>
    <row r="662" spans="19:27" x14ac:dyDescent="0.3">
      <c r="S662" s="10"/>
      <c r="T662" s="10"/>
      <c r="AA662" s="11"/>
    </row>
    <row r="663" spans="19:27" x14ac:dyDescent="0.3">
      <c r="S663" s="10"/>
      <c r="T663" s="10"/>
      <c r="AA663" s="11"/>
    </row>
    <row r="664" spans="19:27" x14ac:dyDescent="0.3">
      <c r="S664" s="10"/>
      <c r="T664" s="10"/>
      <c r="AA664" s="11"/>
    </row>
    <row r="665" spans="19:27" x14ac:dyDescent="0.3">
      <c r="S665" s="10"/>
      <c r="T665" s="10"/>
      <c r="AA665" s="11"/>
    </row>
    <row r="666" spans="19:27" x14ac:dyDescent="0.3">
      <c r="S666" s="10"/>
      <c r="T666" s="10"/>
      <c r="AA666" s="11"/>
    </row>
    <row r="667" spans="19:27" x14ac:dyDescent="0.3">
      <c r="S667" s="10"/>
      <c r="T667" s="10"/>
      <c r="AA667" s="11"/>
    </row>
    <row r="668" spans="19:27" x14ac:dyDescent="0.3">
      <c r="S668" s="10"/>
      <c r="T668" s="10"/>
      <c r="AA668" s="11"/>
    </row>
    <row r="669" spans="19:27" x14ac:dyDescent="0.3">
      <c r="S669" s="10"/>
      <c r="T669" s="10"/>
      <c r="AA669" s="11"/>
    </row>
    <row r="670" spans="19:27" x14ac:dyDescent="0.3">
      <c r="S670" s="10"/>
      <c r="T670" s="10"/>
      <c r="AA670" s="11"/>
    </row>
    <row r="671" spans="19:27" x14ac:dyDescent="0.3">
      <c r="S671" s="10"/>
      <c r="T671" s="10"/>
      <c r="AA671" s="11"/>
    </row>
    <row r="672" spans="19:27" x14ac:dyDescent="0.3">
      <c r="S672" s="10"/>
      <c r="T672" s="10"/>
      <c r="AA672" s="11"/>
    </row>
    <row r="673" spans="19:27" x14ac:dyDescent="0.3">
      <c r="S673" s="10"/>
      <c r="T673" s="10"/>
      <c r="AA673" s="11"/>
    </row>
    <row r="674" spans="19:27" x14ac:dyDescent="0.3">
      <c r="S674" s="10"/>
      <c r="T674" s="10"/>
      <c r="AA674" s="11"/>
    </row>
    <row r="675" spans="19:27" x14ac:dyDescent="0.3">
      <c r="S675" s="10"/>
      <c r="T675" s="10"/>
      <c r="AA675" s="11"/>
    </row>
    <row r="676" spans="19:27" x14ac:dyDescent="0.3">
      <c r="S676" s="10"/>
      <c r="T676" s="10"/>
      <c r="AA676" s="11"/>
    </row>
    <row r="677" spans="19:27" x14ac:dyDescent="0.3">
      <c r="S677" s="10"/>
      <c r="T677" s="10"/>
      <c r="AA677" s="11"/>
    </row>
    <row r="678" spans="19:27" x14ac:dyDescent="0.3">
      <c r="S678" s="10"/>
      <c r="T678" s="10"/>
      <c r="AA678" s="11"/>
    </row>
    <row r="679" spans="19:27" x14ac:dyDescent="0.3">
      <c r="S679" s="10"/>
      <c r="T679" s="10"/>
      <c r="AA679" s="11"/>
    </row>
    <row r="680" spans="19:27" x14ac:dyDescent="0.3">
      <c r="S680" s="10"/>
      <c r="T680" s="10"/>
      <c r="AA680" s="11"/>
    </row>
    <row r="681" spans="19:27" x14ac:dyDescent="0.3">
      <c r="S681" s="10"/>
      <c r="T681" s="10"/>
      <c r="AA681" s="11"/>
    </row>
    <row r="682" spans="19:27" x14ac:dyDescent="0.3">
      <c r="S682" s="10"/>
      <c r="T682" s="10"/>
      <c r="AA682" s="11"/>
    </row>
    <row r="683" spans="19:27" x14ac:dyDescent="0.3">
      <c r="S683" s="10"/>
      <c r="T683" s="10"/>
      <c r="AA683" s="11"/>
    </row>
    <row r="684" spans="19:27" x14ac:dyDescent="0.3">
      <c r="S684" s="10"/>
      <c r="T684" s="10"/>
      <c r="AA684" s="11"/>
    </row>
    <row r="685" spans="19:27" x14ac:dyDescent="0.3">
      <c r="S685" s="10"/>
      <c r="T685" s="10"/>
      <c r="AA685" s="11"/>
    </row>
    <row r="686" spans="19:27" x14ac:dyDescent="0.3">
      <c r="S686" s="10"/>
      <c r="T686" s="10"/>
      <c r="AA686" s="11"/>
    </row>
    <row r="687" spans="19:27" x14ac:dyDescent="0.3">
      <c r="S687" s="10"/>
      <c r="T687" s="10"/>
      <c r="AA687" s="11"/>
    </row>
    <row r="688" spans="19:27" x14ac:dyDescent="0.3">
      <c r="S688" s="10"/>
      <c r="T688" s="10"/>
      <c r="AA688" s="11"/>
    </row>
    <row r="689" spans="19:27" x14ac:dyDescent="0.3">
      <c r="S689" s="10"/>
      <c r="T689" s="10"/>
      <c r="AA689" s="11"/>
    </row>
    <row r="690" spans="19:27" x14ac:dyDescent="0.3">
      <c r="S690" s="10"/>
      <c r="T690" s="10"/>
      <c r="AA690" s="11"/>
    </row>
    <row r="691" spans="19:27" x14ac:dyDescent="0.3">
      <c r="S691" s="10"/>
      <c r="T691" s="10"/>
      <c r="AA691" s="11"/>
    </row>
    <row r="692" spans="19:27" x14ac:dyDescent="0.3">
      <c r="S692" s="10"/>
      <c r="T692" s="10"/>
      <c r="AA692" s="11"/>
    </row>
    <row r="693" spans="19:27" x14ac:dyDescent="0.3">
      <c r="S693" s="10"/>
      <c r="T693" s="10"/>
      <c r="AA693" s="11"/>
    </row>
    <row r="694" spans="19:27" x14ac:dyDescent="0.3">
      <c r="S694" s="10"/>
      <c r="T694" s="10"/>
      <c r="AA694" s="11"/>
    </row>
    <row r="695" spans="19:27" x14ac:dyDescent="0.3">
      <c r="S695" s="10"/>
      <c r="T695" s="10"/>
      <c r="AA695" s="11"/>
    </row>
    <row r="696" spans="19:27" x14ac:dyDescent="0.3">
      <c r="S696" s="10"/>
      <c r="T696" s="10"/>
      <c r="AA696" s="11"/>
    </row>
    <row r="697" spans="19:27" x14ac:dyDescent="0.3">
      <c r="S697" s="10"/>
      <c r="T697" s="10"/>
      <c r="AA697" s="11"/>
    </row>
    <row r="698" spans="19:27" x14ac:dyDescent="0.3">
      <c r="S698" s="10"/>
      <c r="T698" s="10"/>
      <c r="AA698" s="11"/>
    </row>
    <row r="699" spans="19:27" x14ac:dyDescent="0.3">
      <c r="S699" s="10"/>
      <c r="T699" s="10"/>
      <c r="AA699" s="11"/>
    </row>
    <row r="700" spans="19:27" x14ac:dyDescent="0.3">
      <c r="S700" s="10"/>
      <c r="T700" s="10"/>
      <c r="AA700" s="11"/>
    </row>
    <row r="701" spans="19:27" x14ac:dyDescent="0.3">
      <c r="S701" s="10"/>
      <c r="T701" s="10"/>
      <c r="AA701" s="11"/>
    </row>
    <row r="702" spans="19:27" x14ac:dyDescent="0.3">
      <c r="S702" s="10"/>
      <c r="T702" s="10"/>
      <c r="AA702" s="11"/>
    </row>
    <row r="703" spans="19:27" x14ac:dyDescent="0.3">
      <c r="S703" s="10"/>
      <c r="T703" s="10"/>
      <c r="AA703" s="11"/>
    </row>
    <row r="704" spans="19:27" x14ac:dyDescent="0.3">
      <c r="S704" s="10"/>
      <c r="T704" s="10"/>
      <c r="AA704" s="11"/>
    </row>
    <row r="705" spans="19:27" x14ac:dyDescent="0.3">
      <c r="S705" s="10"/>
      <c r="T705" s="10"/>
      <c r="AA705" s="11"/>
    </row>
    <row r="706" spans="19:27" x14ac:dyDescent="0.3">
      <c r="S706" s="10"/>
      <c r="T706" s="10"/>
      <c r="AA706" s="11"/>
    </row>
    <row r="707" spans="19:27" x14ac:dyDescent="0.3">
      <c r="S707" s="10"/>
      <c r="T707" s="10"/>
      <c r="AA707" s="11"/>
    </row>
    <row r="708" spans="19:27" x14ac:dyDescent="0.3">
      <c r="S708" s="10"/>
      <c r="T708" s="10"/>
      <c r="AA708" s="11"/>
    </row>
    <row r="709" spans="19:27" x14ac:dyDescent="0.3">
      <c r="S709" s="10"/>
      <c r="T709" s="10"/>
      <c r="AA709" s="11"/>
    </row>
    <row r="710" spans="19:27" x14ac:dyDescent="0.3">
      <c r="S710" s="10"/>
      <c r="T710" s="10"/>
      <c r="AA710" s="11"/>
    </row>
    <row r="711" spans="19:27" x14ac:dyDescent="0.3">
      <c r="S711" s="10"/>
      <c r="T711" s="10"/>
      <c r="AA711" s="11"/>
    </row>
    <row r="712" spans="19:27" x14ac:dyDescent="0.3">
      <c r="S712" s="10"/>
      <c r="T712" s="10"/>
      <c r="AA712" s="11"/>
    </row>
    <row r="713" spans="19:27" x14ac:dyDescent="0.3">
      <c r="S713" s="10"/>
      <c r="T713" s="10"/>
      <c r="AA713" s="11"/>
    </row>
    <row r="714" spans="19:27" x14ac:dyDescent="0.3">
      <c r="S714" s="10"/>
      <c r="T714" s="10"/>
      <c r="AA714" s="11"/>
    </row>
    <row r="715" spans="19:27" x14ac:dyDescent="0.3">
      <c r="S715" s="10"/>
      <c r="T715" s="10"/>
      <c r="AA715" s="11"/>
    </row>
    <row r="716" spans="19:27" x14ac:dyDescent="0.3">
      <c r="S716" s="10"/>
      <c r="T716" s="10"/>
      <c r="AA716" s="11"/>
    </row>
    <row r="717" spans="19:27" x14ac:dyDescent="0.3">
      <c r="S717" s="10"/>
      <c r="T717" s="10"/>
      <c r="AA717" s="11"/>
    </row>
    <row r="718" spans="19:27" x14ac:dyDescent="0.3">
      <c r="S718" s="10"/>
      <c r="T718" s="10"/>
      <c r="AA718" s="11"/>
    </row>
    <row r="719" spans="19:27" x14ac:dyDescent="0.3">
      <c r="S719" s="10"/>
      <c r="T719" s="10"/>
      <c r="AA719" s="11"/>
    </row>
    <row r="720" spans="19:27" x14ac:dyDescent="0.3">
      <c r="S720" s="10"/>
      <c r="T720" s="10"/>
      <c r="AA720" s="11"/>
    </row>
    <row r="721" spans="19:27" x14ac:dyDescent="0.3">
      <c r="S721" s="10"/>
      <c r="T721" s="10"/>
      <c r="AA721" s="11"/>
    </row>
    <row r="722" spans="19:27" x14ac:dyDescent="0.3">
      <c r="S722" s="10"/>
      <c r="T722" s="10"/>
      <c r="AA722" s="11"/>
    </row>
    <row r="723" spans="19:27" x14ac:dyDescent="0.3">
      <c r="S723" s="10"/>
      <c r="T723" s="10"/>
      <c r="AA723" s="11"/>
    </row>
    <row r="724" spans="19:27" x14ac:dyDescent="0.3">
      <c r="S724" s="10"/>
      <c r="T724" s="10"/>
      <c r="AA724" s="11"/>
    </row>
    <row r="725" spans="19:27" x14ac:dyDescent="0.3">
      <c r="S725" s="10"/>
      <c r="T725" s="10"/>
      <c r="AA725" s="11"/>
    </row>
    <row r="726" spans="19:27" x14ac:dyDescent="0.3">
      <c r="S726" s="10"/>
      <c r="T726" s="10"/>
      <c r="AA726" s="11"/>
    </row>
    <row r="727" spans="19:27" x14ac:dyDescent="0.3">
      <c r="S727" s="10"/>
      <c r="T727" s="10"/>
      <c r="AA727" s="11"/>
    </row>
    <row r="728" spans="19:27" x14ac:dyDescent="0.3">
      <c r="S728" s="10"/>
      <c r="T728" s="10"/>
      <c r="AA728" s="11"/>
    </row>
    <row r="729" spans="19:27" x14ac:dyDescent="0.3">
      <c r="S729" s="10"/>
      <c r="T729" s="10"/>
      <c r="AA729" s="11"/>
    </row>
    <row r="730" spans="19:27" x14ac:dyDescent="0.3">
      <c r="S730" s="10"/>
      <c r="T730" s="10"/>
      <c r="AA730" s="11"/>
    </row>
    <row r="731" spans="19:27" x14ac:dyDescent="0.3">
      <c r="S731" s="10"/>
      <c r="T731" s="10"/>
      <c r="AA731" s="11"/>
    </row>
    <row r="732" spans="19:27" x14ac:dyDescent="0.3">
      <c r="S732" s="10"/>
      <c r="T732" s="10"/>
      <c r="AA732" s="11"/>
    </row>
    <row r="733" spans="19:27" x14ac:dyDescent="0.3">
      <c r="S733" s="10"/>
      <c r="T733" s="10"/>
      <c r="AA733" s="11"/>
    </row>
    <row r="734" spans="19:27" x14ac:dyDescent="0.3">
      <c r="S734" s="10"/>
      <c r="T734" s="10"/>
      <c r="AA734" s="11"/>
    </row>
    <row r="735" spans="19:27" x14ac:dyDescent="0.3">
      <c r="S735" s="10"/>
      <c r="T735" s="10"/>
      <c r="AA735" s="11"/>
    </row>
    <row r="736" spans="19:27" x14ac:dyDescent="0.3">
      <c r="S736" s="10"/>
      <c r="T736" s="10"/>
      <c r="AA736" s="11"/>
    </row>
    <row r="737" spans="19:27" x14ac:dyDescent="0.3">
      <c r="S737" s="10"/>
      <c r="T737" s="10"/>
      <c r="AA737" s="11"/>
    </row>
    <row r="738" spans="19:27" x14ac:dyDescent="0.3">
      <c r="S738" s="10"/>
      <c r="T738" s="10"/>
      <c r="AA738" s="11"/>
    </row>
    <row r="739" spans="19:27" x14ac:dyDescent="0.3">
      <c r="S739" s="10"/>
      <c r="T739" s="10"/>
      <c r="AA739" s="11"/>
    </row>
    <row r="740" spans="19:27" x14ac:dyDescent="0.3">
      <c r="S740" s="10"/>
      <c r="T740" s="10"/>
      <c r="AA740" s="11"/>
    </row>
    <row r="741" spans="19:27" x14ac:dyDescent="0.3">
      <c r="S741" s="10"/>
      <c r="T741" s="10"/>
      <c r="AA741" s="11"/>
    </row>
    <row r="742" spans="19:27" x14ac:dyDescent="0.3">
      <c r="S742" s="10"/>
      <c r="T742" s="10"/>
      <c r="AA742" s="11"/>
    </row>
    <row r="743" spans="19:27" x14ac:dyDescent="0.3">
      <c r="S743" s="10"/>
      <c r="T743" s="10"/>
      <c r="AA743" s="11"/>
    </row>
    <row r="744" spans="19:27" x14ac:dyDescent="0.3">
      <c r="S744" s="10"/>
      <c r="T744" s="10"/>
      <c r="AA744" s="11"/>
    </row>
    <row r="745" spans="19:27" x14ac:dyDescent="0.3">
      <c r="S745" s="10"/>
      <c r="T745" s="10"/>
      <c r="AA745" s="11"/>
    </row>
    <row r="746" spans="19:27" x14ac:dyDescent="0.3">
      <c r="S746" s="10"/>
      <c r="T746" s="10"/>
      <c r="AA746" s="11"/>
    </row>
    <row r="747" spans="19:27" x14ac:dyDescent="0.3">
      <c r="S747" s="10"/>
      <c r="T747" s="10"/>
      <c r="AA747" s="11"/>
    </row>
    <row r="748" spans="19:27" x14ac:dyDescent="0.3">
      <c r="S748" s="10"/>
      <c r="T748" s="10"/>
      <c r="AA748" s="11"/>
    </row>
    <row r="749" spans="19:27" x14ac:dyDescent="0.3">
      <c r="S749" s="10"/>
      <c r="T749" s="10"/>
      <c r="AA749" s="11"/>
    </row>
    <row r="750" spans="19:27" x14ac:dyDescent="0.3">
      <c r="S750" s="10"/>
      <c r="T750" s="10"/>
      <c r="AA750" s="11"/>
    </row>
    <row r="751" spans="19:27" x14ac:dyDescent="0.3">
      <c r="S751" s="10"/>
      <c r="T751" s="10"/>
      <c r="AA751" s="11"/>
    </row>
    <row r="752" spans="19:27" x14ac:dyDescent="0.3">
      <c r="S752" s="10"/>
      <c r="T752" s="10"/>
      <c r="AA752" s="11"/>
    </row>
    <row r="753" spans="19:27" x14ac:dyDescent="0.3">
      <c r="S753" s="10"/>
      <c r="T753" s="10"/>
      <c r="AA753" s="11"/>
    </row>
    <row r="754" spans="19:27" x14ac:dyDescent="0.3">
      <c r="S754" s="10"/>
      <c r="T754" s="10"/>
      <c r="AA754" s="11"/>
    </row>
    <row r="755" spans="19:27" x14ac:dyDescent="0.3">
      <c r="S755" s="10"/>
      <c r="T755" s="10"/>
      <c r="AA755" s="11"/>
    </row>
    <row r="756" spans="19:27" x14ac:dyDescent="0.3">
      <c r="S756" s="10"/>
      <c r="T756" s="10"/>
      <c r="AA756" s="11"/>
    </row>
    <row r="757" spans="19:27" x14ac:dyDescent="0.3">
      <c r="S757" s="10"/>
      <c r="T757" s="10"/>
      <c r="AA757" s="11"/>
    </row>
    <row r="758" spans="19:27" x14ac:dyDescent="0.3">
      <c r="S758" s="10"/>
      <c r="T758" s="10"/>
      <c r="AA758" s="11"/>
    </row>
    <row r="759" spans="19:27" x14ac:dyDescent="0.3">
      <c r="S759" s="10"/>
      <c r="T759" s="10"/>
      <c r="AA759" s="11"/>
    </row>
    <row r="760" spans="19:27" x14ac:dyDescent="0.3">
      <c r="S760" s="10"/>
      <c r="T760" s="10"/>
      <c r="AA760" s="11"/>
    </row>
    <row r="761" spans="19:27" x14ac:dyDescent="0.3">
      <c r="S761" s="10"/>
      <c r="T761" s="10"/>
      <c r="AA761" s="11"/>
    </row>
    <row r="762" spans="19:27" x14ac:dyDescent="0.3">
      <c r="S762" s="10"/>
      <c r="T762" s="10"/>
      <c r="AA762" s="11"/>
    </row>
    <row r="763" spans="19:27" x14ac:dyDescent="0.3">
      <c r="S763" s="10"/>
      <c r="T763" s="10"/>
      <c r="AA763" s="11"/>
    </row>
    <row r="764" spans="19:27" x14ac:dyDescent="0.3">
      <c r="S764" s="10"/>
      <c r="T764" s="10"/>
      <c r="AA764" s="11"/>
    </row>
    <row r="765" spans="19:27" x14ac:dyDescent="0.3">
      <c r="S765" s="10"/>
      <c r="T765" s="10"/>
      <c r="AA765" s="11"/>
    </row>
    <row r="766" spans="19:27" x14ac:dyDescent="0.3">
      <c r="S766" s="10"/>
      <c r="T766" s="10"/>
      <c r="AA766" s="11"/>
    </row>
    <row r="767" spans="19:27" x14ac:dyDescent="0.3">
      <c r="S767" s="10"/>
      <c r="T767" s="10"/>
      <c r="AA767" s="11"/>
    </row>
    <row r="768" spans="19:27" x14ac:dyDescent="0.3">
      <c r="S768" s="10"/>
      <c r="T768" s="10"/>
      <c r="AA768" s="11"/>
    </row>
    <row r="769" spans="19:27" x14ac:dyDescent="0.3">
      <c r="S769" s="10"/>
      <c r="T769" s="10"/>
      <c r="AA769" s="11"/>
    </row>
    <row r="770" spans="19:27" x14ac:dyDescent="0.3">
      <c r="S770" s="10"/>
      <c r="T770" s="10"/>
      <c r="AA770" s="11"/>
    </row>
    <row r="771" spans="19:27" x14ac:dyDescent="0.3">
      <c r="S771" s="10"/>
      <c r="T771" s="10"/>
      <c r="AA771" s="11"/>
    </row>
    <row r="772" spans="19:27" x14ac:dyDescent="0.3">
      <c r="S772" s="10"/>
      <c r="T772" s="10"/>
      <c r="AA772" s="11"/>
    </row>
    <row r="773" spans="19:27" x14ac:dyDescent="0.3">
      <c r="S773" s="10"/>
      <c r="T773" s="10"/>
      <c r="AA773" s="11"/>
    </row>
    <row r="774" spans="19:27" x14ac:dyDescent="0.3">
      <c r="S774" s="10"/>
      <c r="T774" s="10"/>
      <c r="AA774" s="11"/>
    </row>
    <row r="775" spans="19:27" x14ac:dyDescent="0.3">
      <c r="S775" s="10"/>
      <c r="T775" s="10"/>
      <c r="AA775" s="11"/>
    </row>
    <row r="776" spans="19:27" x14ac:dyDescent="0.3">
      <c r="S776" s="10"/>
      <c r="T776" s="10"/>
      <c r="AA776" s="11"/>
    </row>
    <row r="777" spans="19:27" x14ac:dyDescent="0.3">
      <c r="S777" s="10"/>
      <c r="T777" s="10"/>
      <c r="AA777" s="11"/>
    </row>
    <row r="778" spans="19:27" x14ac:dyDescent="0.3">
      <c r="S778" s="10"/>
      <c r="T778" s="10"/>
      <c r="AA778" s="11"/>
    </row>
    <row r="779" spans="19:27" x14ac:dyDescent="0.3">
      <c r="S779" s="10"/>
      <c r="T779" s="10"/>
      <c r="AA779" s="11"/>
    </row>
    <row r="780" spans="19:27" x14ac:dyDescent="0.3">
      <c r="S780" s="10"/>
      <c r="T780" s="10"/>
      <c r="AA780" s="11"/>
    </row>
    <row r="781" spans="19:27" x14ac:dyDescent="0.3">
      <c r="S781" s="10"/>
      <c r="T781" s="10"/>
      <c r="AA781" s="11"/>
    </row>
    <row r="782" spans="19:27" x14ac:dyDescent="0.3">
      <c r="S782" s="10"/>
      <c r="T782" s="10"/>
      <c r="AA782" s="11"/>
    </row>
    <row r="783" spans="19:27" x14ac:dyDescent="0.3">
      <c r="S783" s="10"/>
      <c r="T783" s="10"/>
      <c r="AA783" s="11"/>
    </row>
    <row r="784" spans="19:27" x14ac:dyDescent="0.3">
      <c r="S784" s="10"/>
      <c r="T784" s="10"/>
      <c r="AA784" s="11"/>
    </row>
    <row r="785" spans="19:27" x14ac:dyDescent="0.3">
      <c r="S785" s="10"/>
      <c r="T785" s="10"/>
      <c r="AA785" s="11"/>
    </row>
    <row r="786" spans="19:27" x14ac:dyDescent="0.3">
      <c r="S786" s="10"/>
      <c r="T786" s="10"/>
      <c r="AA786" s="11"/>
    </row>
    <row r="787" spans="19:27" x14ac:dyDescent="0.3">
      <c r="S787" s="10"/>
      <c r="T787" s="10"/>
      <c r="AA787" s="11"/>
    </row>
    <row r="788" spans="19:27" x14ac:dyDescent="0.3">
      <c r="S788" s="10"/>
      <c r="T788" s="10"/>
      <c r="AA788" s="11"/>
    </row>
    <row r="789" spans="19:27" x14ac:dyDescent="0.3">
      <c r="S789" s="10"/>
      <c r="T789" s="10"/>
      <c r="AA789" s="11"/>
    </row>
    <row r="790" spans="19:27" x14ac:dyDescent="0.3">
      <c r="S790" s="10"/>
      <c r="T790" s="10"/>
      <c r="AA790" s="11"/>
    </row>
    <row r="791" spans="19:27" x14ac:dyDescent="0.3">
      <c r="S791" s="10"/>
      <c r="T791" s="10"/>
      <c r="AA791" s="11"/>
    </row>
    <row r="792" spans="19:27" x14ac:dyDescent="0.3">
      <c r="S792" s="10"/>
      <c r="T792" s="10"/>
      <c r="AA792" s="11"/>
    </row>
    <row r="793" spans="19:27" x14ac:dyDescent="0.3">
      <c r="S793" s="10"/>
      <c r="T793" s="10"/>
      <c r="AA793" s="11"/>
    </row>
    <row r="794" spans="19:27" x14ac:dyDescent="0.3">
      <c r="S794" s="10"/>
      <c r="T794" s="10"/>
      <c r="AA794" s="11"/>
    </row>
    <row r="795" spans="19:27" x14ac:dyDescent="0.3">
      <c r="S795" s="10"/>
      <c r="T795" s="10"/>
      <c r="AA795" s="11"/>
    </row>
    <row r="796" spans="19:27" x14ac:dyDescent="0.3">
      <c r="S796" s="10"/>
      <c r="T796" s="10"/>
      <c r="AA796" s="11"/>
    </row>
    <row r="797" spans="19:27" x14ac:dyDescent="0.3">
      <c r="S797" s="10"/>
      <c r="T797" s="10"/>
      <c r="AA797" s="11"/>
    </row>
    <row r="798" spans="19:27" x14ac:dyDescent="0.3">
      <c r="S798" s="10"/>
      <c r="T798" s="10"/>
      <c r="AA798" s="11"/>
    </row>
    <row r="799" spans="19:27" x14ac:dyDescent="0.3">
      <c r="S799" s="10"/>
      <c r="T799" s="10"/>
      <c r="AA799" s="11"/>
    </row>
    <row r="800" spans="19:27" x14ac:dyDescent="0.3">
      <c r="S800" s="10"/>
      <c r="T800" s="10"/>
      <c r="AA800" s="11"/>
    </row>
    <row r="801" spans="19:27" x14ac:dyDescent="0.3">
      <c r="S801" s="10"/>
      <c r="T801" s="10"/>
      <c r="AA801" s="11"/>
    </row>
    <row r="802" spans="19:27" x14ac:dyDescent="0.3">
      <c r="S802" s="10"/>
      <c r="T802" s="10"/>
      <c r="AA802" s="11"/>
    </row>
    <row r="803" spans="19:27" x14ac:dyDescent="0.3">
      <c r="S803" s="10"/>
      <c r="T803" s="10"/>
      <c r="AA803" s="11"/>
    </row>
    <row r="804" spans="19:27" x14ac:dyDescent="0.3">
      <c r="S804" s="10"/>
      <c r="T804" s="10"/>
      <c r="AA804" s="11"/>
    </row>
    <row r="805" spans="19:27" x14ac:dyDescent="0.3">
      <c r="S805" s="10"/>
      <c r="T805" s="10"/>
      <c r="AA805" s="11"/>
    </row>
    <row r="806" spans="19:27" x14ac:dyDescent="0.3">
      <c r="S806" s="10"/>
      <c r="T806" s="10"/>
      <c r="AA806" s="11"/>
    </row>
    <row r="807" spans="19:27" x14ac:dyDescent="0.3">
      <c r="S807" s="10"/>
      <c r="T807" s="10"/>
      <c r="AA807" s="11"/>
    </row>
    <row r="808" spans="19:27" x14ac:dyDescent="0.3">
      <c r="S808" s="10"/>
      <c r="T808" s="10"/>
      <c r="AA808" s="11"/>
    </row>
    <row r="809" spans="19:27" x14ac:dyDescent="0.3">
      <c r="S809" s="10"/>
      <c r="T809" s="10"/>
      <c r="AA809" s="11"/>
    </row>
    <row r="810" spans="19:27" x14ac:dyDescent="0.3">
      <c r="S810" s="10"/>
      <c r="T810" s="10"/>
      <c r="AA810" s="11"/>
    </row>
    <row r="811" spans="19:27" x14ac:dyDescent="0.3">
      <c r="S811" s="10"/>
      <c r="T811" s="10"/>
      <c r="AA811" s="11"/>
    </row>
    <row r="812" spans="19:27" x14ac:dyDescent="0.3">
      <c r="S812" s="10"/>
      <c r="T812" s="10"/>
      <c r="AA812" s="11"/>
    </row>
    <row r="813" spans="19:27" x14ac:dyDescent="0.3">
      <c r="S813" s="10"/>
      <c r="T813" s="10"/>
      <c r="AA813" s="11"/>
    </row>
    <row r="814" spans="19:27" x14ac:dyDescent="0.3">
      <c r="S814" s="10"/>
      <c r="T814" s="10"/>
      <c r="AA814" s="11"/>
    </row>
    <row r="815" spans="19:27" x14ac:dyDescent="0.3">
      <c r="S815" s="10"/>
      <c r="T815" s="10"/>
      <c r="AA815" s="11"/>
    </row>
    <row r="816" spans="19:27" x14ac:dyDescent="0.3">
      <c r="S816" s="10"/>
      <c r="T816" s="10"/>
      <c r="AA816" s="11"/>
    </row>
    <row r="817" spans="19:27" x14ac:dyDescent="0.3">
      <c r="S817" s="10"/>
      <c r="T817" s="10"/>
      <c r="AA817" s="11"/>
    </row>
    <row r="818" spans="19:27" x14ac:dyDescent="0.3">
      <c r="S818" s="10"/>
      <c r="T818" s="10"/>
      <c r="AA818" s="11"/>
    </row>
    <row r="819" spans="19:27" x14ac:dyDescent="0.3">
      <c r="S819" s="10"/>
      <c r="T819" s="10"/>
      <c r="AA819" s="11"/>
    </row>
    <row r="820" spans="19:27" x14ac:dyDescent="0.3">
      <c r="S820" s="10"/>
      <c r="T820" s="10"/>
      <c r="AA820" s="11"/>
    </row>
    <row r="821" spans="19:27" x14ac:dyDescent="0.3">
      <c r="S821" s="10"/>
      <c r="T821" s="10"/>
      <c r="AA821" s="11"/>
    </row>
    <row r="822" spans="19:27" x14ac:dyDescent="0.3">
      <c r="S822" s="10"/>
      <c r="T822" s="10"/>
      <c r="AA822" s="11"/>
    </row>
    <row r="823" spans="19:27" x14ac:dyDescent="0.3">
      <c r="S823" s="10"/>
      <c r="T823" s="10"/>
      <c r="AA823" s="11"/>
    </row>
    <row r="824" spans="19:27" x14ac:dyDescent="0.3">
      <c r="S824" s="10"/>
      <c r="T824" s="10"/>
      <c r="AA824" s="11"/>
    </row>
    <row r="825" spans="19:27" x14ac:dyDescent="0.3">
      <c r="S825" s="10"/>
      <c r="T825" s="10"/>
      <c r="AA825" s="11"/>
    </row>
    <row r="826" spans="19:27" x14ac:dyDescent="0.3">
      <c r="S826" s="10"/>
      <c r="T826" s="10"/>
      <c r="AA826" s="11"/>
    </row>
    <row r="827" spans="19:27" x14ac:dyDescent="0.3">
      <c r="S827" s="10"/>
      <c r="T827" s="10"/>
      <c r="AA827" s="11"/>
    </row>
    <row r="828" spans="19:27" x14ac:dyDescent="0.3">
      <c r="S828" s="10"/>
      <c r="T828" s="10"/>
      <c r="AA828" s="11"/>
    </row>
    <row r="829" spans="19:27" x14ac:dyDescent="0.3">
      <c r="S829" s="10"/>
      <c r="T829" s="10"/>
      <c r="AA829" s="11"/>
    </row>
    <row r="830" spans="19:27" x14ac:dyDescent="0.3">
      <c r="S830" s="10"/>
      <c r="T830" s="10"/>
      <c r="AA830" s="11"/>
    </row>
    <row r="831" spans="19:27" x14ac:dyDescent="0.3">
      <c r="S831" s="10"/>
      <c r="T831" s="10"/>
      <c r="AA831" s="11"/>
    </row>
    <row r="832" spans="19:27" x14ac:dyDescent="0.3">
      <c r="S832" s="10"/>
      <c r="T832" s="10"/>
      <c r="AA832" s="11"/>
    </row>
    <row r="833" spans="19:27" x14ac:dyDescent="0.3">
      <c r="S833" s="10"/>
      <c r="T833" s="10"/>
      <c r="AA833" s="11"/>
    </row>
    <row r="834" spans="19:27" x14ac:dyDescent="0.3">
      <c r="S834" s="10"/>
      <c r="T834" s="10"/>
      <c r="AA834" s="11"/>
    </row>
    <row r="835" spans="19:27" x14ac:dyDescent="0.3">
      <c r="S835" s="10"/>
      <c r="T835" s="10"/>
      <c r="AA835" s="11"/>
    </row>
    <row r="836" spans="19:27" x14ac:dyDescent="0.3">
      <c r="S836" s="10"/>
      <c r="T836" s="10"/>
      <c r="AA836" s="11"/>
    </row>
    <row r="837" spans="19:27" x14ac:dyDescent="0.3">
      <c r="S837" s="10"/>
      <c r="T837" s="10"/>
      <c r="AA837" s="11"/>
    </row>
    <row r="838" spans="19:27" x14ac:dyDescent="0.3">
      <c r="S838" s="10"/>
      <c r="T838" s="10"/>
      <c r="AA838" s="11"/>
    </row>
    <row r="839" spans="19:27" x14ac:dyDescent="0.3">
      <c r="S839" s="10"/>
      <c r="T839" s="10"/>
      <c r="AA839" s="11"/>
    </row>
    <row r="840" spans="19:27" x14ac:dyDescent="0.3">
      <c r="S840" s="10"/>
      <c r="T840" s="10"/>
      <c r="AA840" s="11"/>
    </row>
    <row r="841" spans="19:27" x14ac:dyDescent="0.3">
      <c r="S841" s="10"/>
      <c r="T841" s="10"/>
      <c r="AA841" s="11"/>
    </row>
    <row r="842" spans="19:27" x14ac:dyDescent="0.3">
      <c r="S842" s="10"/>
      <c r="T842" s="10"/>
      <c r="AA842" s="11"/>
    </row>
    <row r="843" spans="19:27" x14ac:dyDescent="0.3">
      <c r="S843" s="10"/>
      <c r="T843" s="10"/>
      <c r="AA843" s="11"/>
    </row>
    <row r="844" spans="19:27" x14ac:dyDescent="0.3">
      <c r="S844" s="10"/>
      <c r="T844" s="10"/>
      <c r="AA844" s="11"/>
    </row>
    <row r="845" spans="19:27" x14ac:dyDescent="0.3">
      <c r="S845" s="10"/>
      <c r="T845" s="10"/>
      <c r="AA845" s="11"/>
    </row>
    <row r="846" spans="19:27" x14ac:dyDescent="0.3">
      <c r="S846" s="10"/>
      <c r="T846" s="10"/>
      <c r="AA846" s="11"/>
    </row>
    <row r="847" spans="19:27" x14ac:dyDescent="0.3">
      <c r="S847" s="10"/>
      <c r="T847" s="10"/>
      <c r="AA847" s="11"/>
    </row>
    <row r="848" spans="19:27" x14ac:dyDescent="0.3">
      <c r="S848" s="10"/>
      <c r="T848" s="10"/>
      <c r="AA848" s="11"/>
    </row>
    <row r="849" spans="19:27" x14ac:dyDescent="0.3">
      <c r="S849" s="10"/>
      <c r="T849" s="10"/>
      <c r="AA849" s="11"/>
    </row>
    <row r="850" spans="19:27" x14ac:dyDescent="0.3">
      <c r="S850" s="10"/>
      <c r="T850" s="10"/>
      <c r="AA850" s="11"/>
    </row>
    <row r="851" spans="19:27" x14ac:dyDescent="0.3">
      <c r="S851" s="10"/>
      <c r="T851" s="10"/>
      <c r="AA851" s="11"/>
    </row>
    <row r="852" spans="19:27" x14ac:dyDescent="0.3">
      <c r="S852" s="10"/>
      <c r="T852" s="10"/>
      <c r="AA852" s="11"/>
    </row>
    <row r="853" spans="19:27" x14ac:dyDescent="0.3">
      <c r="S853" s="10"/>
      <c r="T853" s="10"/>
      <c r="AA853" s="11"/>
    </row>
    <row r="854" spans="19:27" x14ac:dyDescent="0.3">
      <c r="S854" s="10"/>
      <c r="T854" s="10"/>
      <c r="AA854" s="11"/>
    </row>
    <row r="855" spans="19:27" x14ac:dyDescent="0.3">
      <c r="S855" s="10"/>
      <c r="T855" s="10"/>
      <c r="AA855" s="11"/>
    </row>
    <row r="856" spans="19:27" x14ac:dyDescent="0.3">
      <c r="S856" s="10"/>
      <c r="T856" s="10"/>
      <c r="AA856" s="11"/>
    </row>
    <row r="857" spans="19:27" x14ac:dyDescent="0.3">
      <c r="S857" s="10"/>
      <c r="T857" s="10"/>
      <c r="AA857" s="11"/>
    </row>
    <row r="858" spans="19:27" x14ac:dyDescent="0.3">
      <c r="S858" s="10"/>
      <c r="T858" s="10"/>
      <c r="AA858" s="11"/>
    </row>
    <row r="859" spans="19:27" x14ac:dyDescent="0.3">
      <c r="S859" s="10"/>
      <c r="T859" s="10"/>
      <c r="AA859" s="11"/>
    </row>
    <row r="860" spans="19:27" x14ac:dyDescent="0.3">
      <c r="S860" s="10"/>
      <c r="T860" s="10"/>
      <c r="AA860" s="11"/>
    </row>
    <row r="861" spans="19:27" x14ac:dyDescent="0.3">
      <c r="S861" s="10"/>
      <c r="T861" s="10"/>
      <c r="AA861" s="11"/>
    </row>
    <row r="862" spans="19:27" x14ac:dyDescent="0.3">
      <c r="S862" s="10"/>
      <c r="T862" s="10"/>
      <c r="AA862" s="11"/>
    </row>
    <row r="863" spans="19:27" x14ac:dyDescent="0.3">
      <c r="S863" s="10"/>
      <c r="T863" s="10"/>
      <c r="AA863" s="11"/>
    </row>
    <row r="864" spans="19:27" x14ac:dyDescent="0.3">
      <c r="S864" s="10"/>
      <c r="T864" s="10"/>
      <c r="AA864" s="11"/>
    </row>
    <row r="865" spans="19:27" x14ac:dyDescent="0.3">
      <c r="S865" s="10"/>
      <c r="T865" s="10"/>
      <c r="AA865" s="11"/>
    </row>
    <row r="866" spans="19:27" x14ac:dyDescent="0.3">
      <c r="S866" s="10"/>
      <c r="T866" s="10"/>
      <c r="AA866" s="11"/>
    </row>
    <row r="867" spans="19:27" x14ac:dyDescent="0.3">
      <c r="S867" s="10"/>
      <c r="T867" s="10"/>
      <c r="AA867" s="11"/>
    </row>
    <row r="868" spans="19:27" x14ac:dyDescent="0.3">
      <c r="S868" s="10"/>
      <c r="T868" s="10"/>
      <c r="AA868" s="11"/>
    </row>
    <row r="869" spans="19:27" x14ac:dyDescent="0.3">
      <c r="S869" s="10"/>
      <c r="T869" s="10"/>
      <c r="AA869" s="11"/>
    </row>
    <row r="870" spans="19:27" x14ac:dyDescent="0.3">
      <c r="S870" s="10"/>
      <c r="T870" s="10"/>
      <c r="AA870" s="11"/>
    </row>
    <row r="871" spans="19:27" x14ac:dyDescent="0.3">
      <c r="S871" s="10"/>
      <c r="T871" s="10"/>
      <c r="AA871" s="11"/>
    </row>
    <row r="872" spans="19:27" x14ac:dyDescent="0.3">
      <c r="S872" s="10"/>
      <c r="T872" s="10"/>
      <c r="AA872" s="11"/>
    </row>
    <row r="873" spans="19:27" x14ac:dyDescent="0.3">
      <c r="S873" s="10"/>
      <c r="T873" s="10"/>
      <c r="AA873" s="11"/>
    </row>
    <row r="874" spans="19:27" x14ac:dyDescent="0.3">
      <c r="S874" s="10"/>
      <c r="T874" s="10"/>
      <c r="AA874" s="11"/>
    </row>
    <row r="875" spans="19:27" x14ac:dyDescent="0.3">
      <c r="S875" s="10"/>
      <c r="T875" s="10"/>
      <c r="AA875" s="11"/>
    </row>
    <row r="876" spans="19:27" x14ac:dyDescent="0.3">
      <c r="S876" s="10"/>
      <c r="T876" s="10"/>
      <c r="AA876" s="11"/>
    </row>
    <row r="877" spans="19:27" x14ac:dyDescent="0.3">
      <c r="S877" s="10"/>
      <c r="T877" s="10"/>
      <c r="AA877" s="11"/>
    </row>
    <row r="878" spans="19:27" x14ac:dyDescent="0.3">
      <c r="S878" s="10"/>
      <c r="T878" s="10"/>
      <c r="AA878" s="11"/>
    </row>
    <row r="879" spans="19:27" x14ac:dyDescent="0.3">
      <c r="S879" s="10"/>
      <c r="T879" s="10"/>
      <c r="AA879" s="11"/>
    </row>
    <row r="880" spans="19:27" x14ac:dyDescent="0.3">
      <c r="S880" s="10"/>
      <c r="T880" s="10"/>
      <c r="AA880" s="11"/>
    </row>
    <row r="881" spans="19:27" x14ac:dyDescent="0.3">
      <c r="S881" s="10"/>
      <c r="T881" s="10"/>
      <c r="AA881" s="11"/>
    </row>
    <row r="882" spans="19:27" x14ac:dyDescent="0.3">
      <c r="S882" s="10"/>
      <c r="T882" s="10"/>
      <c r="AA882" s="11"/>
    </row>
    <row r="883" spans="19:27" x14ac:dyDescent="0.3">
      <c r="S883" s="10"/>
      <c r="T883" s="10"/>
      <c r="AA883" s="11"/>
    </row>
    <row r="884" spans="19:27" x14ac:dyDescent="0.3">
      <c r="S884" s="10"/>
      <c r="T884" s="10"/>
      <c r="AA884" s="11"/>
    </row>
    <row r="885" spans="19:27" x14ac:dyDescent="0.3">
      <c r="S885" s="10"/>
      <c r="T885" s="10"/>
      <c r="AA885" s="11"/>
    </row>
    <row r="886" spans="19:27" x14ac:dyDescent="0.3">
      <c r="S886" s="10"/>
      <c r="T886" s="10"/>
      <c r="AA886" s="11"/>
    </row>
    <row r="887" spans="19:27" x14ac:dyDescent="0.3">
      <c r="S887" s="10"/>
      <c r="T887" s="10"/>
      <c r="AA887" s="11"/>
    </row>
    <row r="888" spans="19:27" x14ac:dyDescent="0.3">
      <c r="S888" s="10"/>
      <c r="T888" s="10"/>
      <c r="AA888" s="11"/>
    </row>
    <row r="889" spans="19:27" x14ac:dyDescent="0.3">
      <c r="S889" s="10"/>
      <c r="T889" s="10"/>
      <c r="AA889" s="11"/>
    </row>
    <row r="890" spans="19:27" x14ac:dyDescent="0.3">
      <c r="S890" s="10"/>
      <c r="T890" s="10"/>
      <c r="AA890" s="11"/>
    </row>
    <row r="891" spans="19:27" x14ac:dyDescent="0.3">
      <c r="S891" s="10"/>
      <c r="T891" s="10"/>
      <c r="AA891" s="11"/>
    </row>
    <row r="892" spans="19:27" x14ac:dyDescent="0.3">
      <c r="S892" s="10"/>
      <c r="T892" s="10"/>
      <c r="AA892" s="11"/>
    </row>
    <row r="893" spans="19:27" x14ac:dyDescent="0.3">
      <c r="S893" s="10"/>
      <c r="T893" s="10"/>
      <c r="AA893" s="11"/>
    </row>
    <row r="894" spans="19:27" x14ac:dyDescent="0.3">
      <c r="S894" s="10"/>
      <c r="T894" s="10"/>
      <c r="AA894" s="11"/>
    </row>
    <row r="895" spans="19:27" x14ac:dyDescent="0.3">
      <c r="S895" s="10"/>
      <c r="T895" s="10"/>
      <c r="AA895" s="11"/>
    </row>
    <row r="896" spans="19:27" x14ac:dyDescent="0.3">
      <c r="S896" s="10"/>
      <c r="T896" s="10"/>
      <c r="AA896" s="11"/>
    </row>
    <row r="897" spans="19:27" x14ac:dyDescent="0.3">
      <c r="S897" s="10"/>
      <c r="T897" s="10"/>
      <c r="AA897" s="11"/>
    </row>
    <row r="898" spans="19:27" x14ac:dyDescent="0.3">
      <c r="S898" s="10"/>
      <c r="T898" s="10"/>
      <c r="AA898" s="11"/>
    </row>
    <row r="899" spans="19:27" x14ac:dyDescent="0.3">
      <c r="S899" s="10"/>
      <c r="T899" s="10"/>
      <c r="AA899" s="11"/>
    </row>
    <row r="900" spans="19:27" x14ac:dyDescent="0.3">
      <c r="S900" s="10"/>
      <c r="T900" s="10"/>
      <c r="AA900" s="11"/>
    </row>
    <row r="901" spans="19:27" x14ac:dyDescent="0.3">
      <c r="S901" s="10"/>
      <c r="T901" s="10"/>
      <c r="AA901" s="11"/>
    </row>
    <row r="902" spans="19:27" x14ac:dyDescent="0.3">
      <c r="S902" s="10"/>
      <c r="T902" s="10"/>
      <c r="AA902" s="11"/>
    </row>
    <row r="903" spans="19:27" x14ac:dyDescent="0.3">
      <c r="S903" s="10"/>
      <c r="T903" s="10"/>
      <c r="AA903" s="11"/>
    </row>
    <row r="904" spans="19:27" x14ac:dyDescent="0.3">
      <c r="S904" s="10"/>
      <c r="T904" s="10"/>
      <c r="AA904" s="11"/>
    </row>
    <row r="905" spans="19:27" x14ac:dyDescent="0.3">
      <c r="S905" s="10"/>
      <c r="T905" s="10"/>
      <c r="AA905" s="11"/>
    </row>
    <row r="906" spans="19:27" x14ac:dyDescent="0.3">
      <c r="S906" s="10"/>
      <c r="T906" s="10"/>
      <c r="AA906" s="11"/>
    </row>
    <row r="907" spans="19:27" x14ac:dyDescent="0.3">
      <c r="S907" s="10"/>
      <c r="T907" s="10"/>
      <c r="AA907" s="11"/>
    </row>
    <row r="908" spans="19:27" x14ac:dyDescent="0.3">
      <c r="S908" s="10"/>
      <c r="T908" s="10"/>
      <c r="AA908" s="11"/>
    </row>
    <row r="909" spans="19:27" x14ac:dyDescent="0.3">
      <c r="S909" s="10"/>
      <c r="T909" s="10"/>
      <c r="AA909" s="11"/>
    </row>
    <row r="910" spans="19:27" x14ac:dyDescent="0.3">
      <c r="S910" s="10"/>
      <c r="T910" s="10"/>
      <c r="AA910" s="11"/>
    </row>
    <row r="911" spans="19:27" x14ac:dyDescent="0.3">
      <c r="S911" s="10"/>
      <c r="T911" s="10"/>
      <c r="AA911" s="11"/>
    </row>
    <row r="912" spans="19:27" x14ac:dyDescent="0.3">
      <c r="S912" s="10"/>
      <c r="T912" s="10"/>
      <c r="AA912" s="11"/>
    </row>
    <row r="913" spans="19:27" x14ac:dyDescent="0.3">
      <c r="S913" s="10"/>
      <c r="T913" s="10"/>
      <c r="AA913" s="11"/>
    </row>
    <row r="914" spans="19:27" x14ac:dyDescent="0.3">
      <c r="S914" s="10"/>
      <c r="T914" s="10"/>
      <c r="AA914" s="11"/>
    </row>
    <row r="915" spans="19:27" x14ac:dyDescent="0.3">
      <c r="S915" s="10"/>
      <c r="T915" s="10"/>
      <c r="AA915" s="11"/>
    </row>
    <row r="916" spans="19:27" x14ac:dyDescent="0.3">
      <c r="S916" s="10"/>
      <c r="T916" s="10"/>
      <c r="AA916" s="11"/>
    </row>
    <row r="917" spans="19:27" x14ac:dyDescent="0.3">
      <c r="S917" s="10"/>
      <c r="T917" s="10"/>
      <c r="AA917" s="11"/>
    </row>
    <row r="918" spans="19:27" x14ac:dyDescent="0.3">
      <c r="S918" s="10"/>
      <c r="T918" s="10"/>
      <c r="AA918" s="11"/>
    </row>
    <row r="919" spans="19:27" x14ac:dyDescent="0.3">
      <c r="S919" s="10"/>
      <c r="T919" s="10"/>
      <c r="AA919" s="11"/>
    </row>
    <row r="920" spans="19:27" x14ac:dyDescent="0.3">
      <c r="S920" s="10"/>
      <c r="T920" s="10"/>
      <c r="AA920" s="11"/>
    </row>
    <row r="921" spans="19:27" x14ac:dyDescent="0.3">
      <c r="S921" s="10"/>
      <c r="T921" s="10"/>
      <c r="AA921" s="11"/>
    </row>
    <row r="922" spans="19:27" x14ac:dyDescent="0.3">
      <c r="S922" s="10"/>
      <c r="T922" s="10"/>
      <c r="AA922" s="11"/>
    </row>
    <row r="923" spans="19:27" x14ac:dyDescent="0.3">
      <c r="S923" s="10"/>
      <c r="T923" s="10"/>
      <c r="AA923" s="11"/>
    </row>
    <row r="924" spans="19:27" x14ac:dyDescent="0.3">
      <c r="S924" s="10"/>
      <c r="T924" s="10"/>
      <c r="AA924" s="11"/>
    </row>
    <row r="925" spans="19:27" x14ac:dyDescent="0.3">
      <c r="S925" s="10"/>
      <c r="T925" s="10"/>
      <c r="AA925" s="11"/>
    </row>
    <row r="926" spans="19:27" x14ac:dyDescent="0.3">
      <c r="S926" s="10"/>
      <c r="T926" s="10"/>
      <c r="AA926" s="11"/>
    </row>
    <row r="927" spans="19:27" x14ac:dyDescent="0.3">
      <c r="S927" s="10"/>
      <c r="T927" s="10"/>
      <c r="AA927" s="11"/>
    </row>
    <row r="928" spans="19:27" x14ac:dyDescent="0.3">
      <c r="S928" s="10"/>
      <c r="T928" s="10"/>
      <c r="AA928" s="11"/>
    </row>
    <row r="929" spans="19:27" x14ac:dyDescent="0.3">
      <c r="S929" s="10"/>
      <c r="T929" s="10"/>
      <c r="AA929" s="11"/>
    </row>
    <row r="930" spans="19:27" x14ac:dyDescent="0.3">
      <c r="S930" s="10"/>
      <c r="T930" s="10"/>
      <c r="AA930" s="11"/>
    </row>
    <row r="931" spans="19:27" x14ac:dyDescent="0.3">
      <c r="S931" s="10"/>
      <c r="T931" s="10"/>
      <c r="AA931" s="11"/>
    </row>
    <row r="932" spans="19:27" x14ac:dyDescent="0.3">
      <c r="S932" s="10"/>
      <c r="T932" s="10"/>
      <c r="AA932" s="11"/>
    </row>
    <row r="933" spans="19:27" x14ac:dyDescent="0.3">
      <c r="S933" s="10"/>
      <c r="T933" s="10"/>
      <c r="AA933" s="11"/>
    </row>
    <row r="934" spans="19:27" x14ac:dyDescent="0.3">
      <c r="S934" s="10"/>
      <c r="T934" s="10"/>
      <c r="AA934" s="11"/>
    </row>
    <row r="935" spans="19:27" x14ac:dyDescent="0.3">
      <c r="S935" s="10"/>
      <c r="T935" s="10"/>
      <c r="AA935" s="11"/>
    </row>
    <row r="936" spans="19:27" x14ac:dyDescent="0.3">
      <c r="S936" s="10"/>
      <c r="T936" s="10"/>
      <c r="AA936" s="11"/>
    </row>
    <row r="937" spans="19:27" x14ac:dyDescent="0.3">
      <c r="S937" s="10"/>
      <c r="T937" s="10"/>
      <c r="AA937" s="11"/>
    </row>
    <row r="938" spans="19:27" x14ac:dyDescent="0.3">
      <c r="S938" s="10"/>
      <c r="T938" s="10"/>
      <c r="AA938" s="11"/>
    </row>
    <row r="939" spans="19:27" x14ac:dyDescent="0.3">
      <c r="S939" s="10"/>
      <c r="T939" s="10"/>
      <c r="AA939" s="11"/>
    </row>
    <row r="940" spans="19:27" x14ac:dyDescent="0.3">
      <c r="S940" s="10"/>
      <c r="T940" s="10"/>
      <c r="AA940" s="11"/>
    </row>
    <row r="941" spans="19:27" x14ac:dyDescent="0.3">
      <c r="S941" s="10"/>
      <c r="T941" s="10"/>
      <c r="AA941" s="11"/>
    </row>
    <row r="942" spans="19:27" x14ac:dyDescent="0.3">
      <c r="S942" s="10"/>
      <c r="T942" s="10"/>
      <c r="AA942" s="11"/>
    </row>
    <row r="943" spans="19:27" x14ac:dyDescent="0.3">
      <c r="S943" s="10"/>
      <c r="T943" s="10"/>
      <c r="AA943" s="11"/>
    </row>
    <row r="944" spans="19:27" x14ac:dyDescent="0.3">
      <c r="S944" s="10"/>
      <c r="T944" s="10"/>
      <c r="AA944" s="11"/>
    </row>
    <row r="945" spans="19:27" x14ac:dyDescent="0.3">
      <c r="S945" s="10"/>
      <c r="T945" s="10"/>
      <c r="AA945" s="11"/>
    </row>
    <row r="946" spans="19:27" x14ac:dyDescent="0.3">
      <c r="S946" s="10"/>
      <c r="T946" s="10"/>
      <c r="AA946" s="11"/>
    </row>
    <row r="947" spans="19:27" x14ac:dyDescent="0.3">
      <c r="S947" s="10"/>
      <c r="T947" s="10"/>
      <c r="AA947" s="11"/>
    </row>
    <row r="948" spans="19:27" x14ac:dyDescent="0.3">
      <c r="S948" s="10"/>
      <c r="T948" s="10"/>
      <c r="AA948" s="11"/>
    </row>
    <row r="949" spans="19:27" x14ac:dyDescent="0.3">
      <c r="S949" s="10"/>
      <c r="T949" s="10"/>
      <c r="AA949" s="11"/>
    </row>
    <row r="950" spans="19:27" x14ac:dyDescent="0.3">
      <c r="S950" s="10"/>
      <c r="T950" s="10"/>
      <c r="AA950" s="11"/>
    </row>
    <row r="951" spans="19:27" x14ac:dyDescent="0.3">
      <c r="S951" s="10"/>
      <c r="T951" s="10"/>
      <c r="AA951" s="11"/>
    </row>
    <row r="952" spans="19:27" x14ac:dyDescent="0.3">
      <c r="S952" s="10"/>
      <c r="T952" s="10"/>
      <c r="AA952" s="11"/>
    </row>
    <row r="953" spans="19:27" x14ac:dyDescent="0.3">
      <c r="S953" s="10"/>
      <c r="T953" s="10"/>
      <c r="AA953" s="11"/>
    </row>
    <row r="954" spans="19:27" x14ac:dyDescent="0.3">
      <c r="S954" s="10"/>
      <c r="T954" s="10"/>
      <c r="AA954" s="11"/>
    </row>
    <row r="955" spans="19:27" x14ac:dyDescent="0.3">
      <c r="S955" s="10"/>
      <c r="T955" s="10"/>
      <c r="AA955" s="11"/>
    </row>
    <row r="956" spans="19:27" x14ac:dyDescent="0.3">
      <c r="S956" s="10"/>
      <c r="T956" s="10"/>
      <c r="AA956" s="11"/>
    </row>
    <row r="957" spans="19:27" x14ac:dyDescent="0.3">
      <c r="S957" s="10"/>
      <c r="T957" s="10"/>
      <c r="AA957" s="11"/>
    </row>
    <row r="958" spans="19:27" x14ac:dyDescent="0.3">
      <c r="S958" s="10"/>
      <c r="T958" s="10"/>
      <c r="AA958" s="11"/>
    </row>
    <row r="959" spans="19:27" x14ac:dyDescent="0.3">
      <c r="S959" s="10"/>
      <c r="T959" s="10"/>
      <c r="AA959" s="11"/>
    </row>
    <row r="960" spans="19:27" x14ac:dyDescent="0.3">
      <c r="S960" s="10"/>
      <c r="T960" s="10"/>
      <c r="AA960" s="11"/>
    </row>
    <row r="961" spans="19:27" x14ac:dyDescent="0.3">
      <c r="S961" s="10"/>
      <c r="T961" s="10"/>
      <c r="AA961" s="11"/>
    </row>
    <row r="962" spans="19:27" x14ac:dyDescent="0.3">
      <c r="S962" s="10"/>
      <c r="T962" s="10"/>
      <c r="AA962" s="11"/>
    </row>
    <row r="963" spans="19:27" x14ac:dyDescent="0.3">
      <c r="S963" s="10"/>
      <c r="T963" s="10"/>
      <c r="AA963" s="11"/>
    </row>
    <row r="964" spans="19:27" x14ac:dyDescent="0.3">
      <c r="S964" s="10"/>
      <c r="T964" s="10"/>
      <c r="AA964" s="11"/>
    </row>
    <row r="965" spans="19:27" x14ac:dyDescent="0.3">
      <c r="S965" s="10"/>
      <c r="T965" s="10"/>
      <c r="AA965" s="11"/>
    </row>
    <row r="966" spans="19:27" x14ac:dyDescent="0.3">
      <c r="S966" s="10"/>
      <c r="T966" s="10"/>
      <c r="AA966" s="11"/>
    </row>
    <row r="967" spans="19:27" x14ac:dyDescent="0.3">
      <c r="S967" s="10"/>
      <c r="T967" s="10"/>
      <c r="AA967" s="11"/>
    </row>
    <row r="968" spans="19:27" x14ac:dyDescent="0.3">
      <c r="S968" s="10"/>
      <c r="T968" s="10"/>
      <c r="AA968" s="11"/>
    </row>
    <row r="969" spans="19:27" x14ac:dyDescent="0.3">
      <c r="S969" s="10"/>
      <c r="T969" s="10"/>
      <c r="AA969" s="11"/>
    </row>
    <row r="970" spans="19:27" x14ac:dyDescent="0.3">
      <c r="S970" s="10"/>
      <c r="T970" s="10"/>
      <c r="AA970" s="11"/>
    </row>
    <row r="971" spans="19:27" x14ac:dyDescent="0.3">
      <c r="S971" s="10"/>
      <c r="T971" s="10"/>
      <c r="AA971" s="11"/>
    </row>
    <row r="972" spans="19:27" x14ac:dyDescent="0.3">
      <c r="S972" s="10"/>
      <c r="T972" s="10"/>
      <c r="AA972" s="11"/>
    </row>
    <row r="973" spans="19:27" x14ac:dyDescent="0.3">
      <c r="S973" s="10"/>
      <c r="T973" s="10"/>
      <c r="AA973" s="11"/>
    </row>
    <row r="974" spans="19:27" x14ac:dyDescent="0.3">
      <c r="S974" s="10"/>
      <c r="T974" s="10"/>
      <c r="AA974" s="11"/>
    </row>
    <row r="975" spans="19:27" x14ac:dyDescent="0.3">
      <c r="S975" s="10"/>
      <c r="T975" s="10"/>
      <c r="AA975" s="11"/>
    </row>
    <row r="976" spans="19:27" x14ac:dyDescent="0.3">
      <c r="S976" s="10"/>
      <c r="T976" s="10"/>
      <c r="AA976" s="11"/>
    </row>
    <row r="977" spans="19:27" x14ac:dyDescent="0.3">
      <c r="S977" s="10"/>
      <c r="T977" s="10"/>
      <c r="AA977" s="11"/>
    </row>
    <row r="978" spans="19:27" x14ac:dyDescent="0.3">
      <c r="S978" s="10"/>
      <c r="T978" s="10"/>
      <c r="AA978" s="11"/>
    </row>
    <row r="979" spans="19:27" x14ac:dyDescent="0.3">
      <c r="S979" s="10"/>
      <c r="T979" s="10"/>
      <c r="AA979" s="11"/>
    </row>
    <row r="980" spans="19:27" x14ac:dyDescent="0.3">
      <c r="S980" s="10"/>
      <c r="T980" s="10"/>
      <c r="AA980" s="11"/>
    </row>
    <row r="981" spans="19:27" x14ac:dyDescent="0.3">
      <c r="S981" s="10"/>
      <c r="T981" s="10"/>
      <c r="AA981" s="11"/>
    </row>
    <row r="982" spans="19:27" x14ac:dyDescent="0.3">
      <c r="S982" s="10"/>
      <c r="T982" s="10"/>
      <c r="AA982" s="11"/>
    </row>
    <row r="983" spans="19:27" x14ac:dyDescent="0.3">
      <c r="S983" s="10"/>
      <c r="T983" s="10"/>
      <c r="AA983" s="11"/>
    </row>
    <row r="984" spans="19:27" x14ac:dyDescent="0.3">
      <c r="S984" s="10"/>
      <c r="T984" s="10"/>
      <c r="AA984" s="11"/>
    </row>
    <row r="985" spans="19:27" x14ac:dyDescent="0.3">
      <c r="S985" s="10"/>
      <c r="T985" s="10"/>
      <c r="AA985" s="11"/>
    </row>
    <row r="986" spans="19:27" x14ac:dyDescent="0.3">
      <c r="S986" s="10"/>
      <c r="T986" s="10"/>
      <c r="AA986" s="11"/>
    </row>
    <row r="987" spans="19:27" x14ac:dyDescent="0.3">
      <c r="S987" s="10"/>
      <c r="T987" s="10"/>
      <c r="AA987" s="11"/>
    </row>
    <row r="988" spans="19:27" x14ac:dyDescent="0.3">
      <c r="S988" s="10"/>
      <c r="T988" s="10"/>
      <c r="AA988" s="11"/>
    </row>
    <row r="989" spans="19:27" x14ac:dyDescent="0.3">
      <c r="S989" s="10"/>
      <c r="T989" s="10"/>
      <c r="AA989" s="11"/>
    </row>
    <row r="990" spans="19:27" x14ac:dyDescent="0.3">
      <c r="S990" s="10"/>
      <c r="T990" s="10"/>
      <c r="AA990" s="11"/>
    </row>
    <row r="991" spans="19:27" x14ac:dyDescent="0.3">
      <c r="S991" s="10"/>
      <c r="T991" s="10"/>
      <c r="AA991" s="11"/>
    </row>
    <row r="992" spans="19:27" x14ac:dyDescent="0.3">
      <c r="S992" s="10"/>
      <c r="T992" s="10"/>
      <c r="AA992" s="11"/>
    </row>
  </sheetData>
  <autoFilter ref="C1:C992" xr:uid="{00000000-0001-0000-0000-000000000000}"/>
  <sortState xmlns:xlrd2="http://schemas.microsoft.com/office/spreadsheetml/2017/richdata2" ref="A2:AI992">
    <sortCondition ref="A1:A9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Genario</dc:creator>
  <cp:lastModifiedBy>Rafael Genario</cp:lastModifiedBy>
  <dcterms:created xsi:type="dcterms:W3CDTF">2015-06-05T18:19:34Z</dcterms:created>
  <dcterms:modified xsi:type="dcterms:W3CDTF">2026-05-12T16:40:16Z</dcterms:modified>
</cp:coreProperties>
</file>